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enaanalytics.sharepoint.com/sites/GenteyCulturaAAN/Documentos compartidos/General/Modelo del Desempeño/Modelo de Analítica 2026/"/>
    </mc:Choice>
  </mc:AlternateContent>
  <xr:revisionPtr revIDLastSave="0" documentId="8_{847533B7-8971-4135-B0F0-04CFB09F18B9}" xr6:coauthVersionLast="47" xr6:coauthVersionMax="47" xr10:uidLastSave="{00000000-0000-0000-0000-000000000000}"/>
  <bookViews>
    <workbookView xWindow="-110" yWindow="-110" windowWidth="19420" windowHeight="11500" xr2:uid="{167AE29B-7362-4524-861A-CC161F22608A}"/>
  </bookViews>
  <sheets>
    <sheet name="HC Total Nov 2024-2026" sheetId="1" r:id="rId1"/>
    <sheet name="Proyectos" sheetId="3" state="hidden" r:id="rId2"/>
    <sheet name="Proyectos Dueños" sheetId="5" r:id="rId3"/>
  </sheets>
  <definedNames>
    <definedName name="_xlnm._FilterDatabase" localSheetId="1" hidden="1">Proyectos!$A$1:$D$96</definedName>
    <definedName name="_xlnm._FilterDatabase" localSheetId="0" hidden="1">'HC Total Nov 2024-2026'!$A$1:$BM$54</definedName>
    <definedName name="_xlnm.Criteria" localSheetId="0">'HC Total Nov 2024-2026'!$A$1:$O$1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4" i="1" l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N53" i="1" l="1"/>
  <c r="N52" i="1"/>
  <c r="N51" i="1"/>
  <c r="N50" i="1"/>
  <c r="N48" i="1"/>
  <c r="N47" i="1"/>
  <c r="N46" i="1"/>
  <c r="N45" i="1"/>
  <c r="N44" i="1"/>
  <c r="N43" i="1"/>
  <c r="N41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L53" i="1"/>
  <c r="L52" i="1"/>
  <c r="L51" i="1"/>
  <c r="L50" i="1"/>
  <c r="L48" i="1"/>
  <c r="L47" i="1"/>
  <c r="L46" i="1"/>
  <c r="L45" i="1"/>
  <c r="L44" i="1"/>
  <c r="L43" i="1"/>
  <c r="L41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F54" i="1" l="1"/>
</calcChain>
</file>

<file path=xl/sharedStrings.xml><?xml version="1.0" encoding="utf-8"?>
<sst xmlns="http://schemas.openxmlformats.org/spreadsheetml/2006/main" count="774" uniqueCount="300">
  <si>
    <t>No.</t>
  </si>
  <si>
    <t>NOMBRE COMPLETO</t>
  </si>
  <si>
    <t>Nombre corto</t>
  </si>
  <si>
    <t>Correo</t>
  </si>
  <si>
    <t>Área</t>
  </si>
  <si>
    <t>Puesto</t>
  </si>
  <si>
    <t>Cliente</t>
  </si>
  <si>
    <t>Proyecto 1</t>
  </si>
  <si>
    <t>Evaluador 1</t>
  </si>
  <si>
    <t>Evaluador 1 A</t>
  </si>
  <si>
    <t>Proyecto 2</t>
  </si>
  <si>
    <t>Evaluador 2</t>
  </si>
  <si>
    <t>Proyecto 3</t>
  </si>
  <si>
    <t>Evaluador 3</t>
  </si>
  <si>
    <t>Proyecto 4</t>
  </si>
  <si>
    <t>Evaluador 4</t>
  </si>
  <si>
    <t>RAMIRO ABAD ARELLANO CARDONA</t>
  </si>
  <si>
    <t>Abad Arellano Cardona</t>
  </si>
  <si>
    <t>abad.arellano@arena-analytics.com</t>
  </si>
  <si>
    <t>Analítica</t>
  </si>
  <si>
    <t>Ingeniero(a) de Datos Snr</t>
  </si>
  <si>
    <t>CCL Engineering Cell</t>
  </si>
  <si>
    <t>Héctor Rangel</t>
  </si>
  <si>
    <t>Migración 360 a 720</t>
  </si>
  <si>
    <t>OBPPC</t>
  </si>
  <si>
    <t>Prime Partners Support</t>
  </si>
  <si>
    <t>ABRAHAM MARTÍNEZ RAMIREZ</t>
  </si>
  <si>
    <t>Abraham Martínez Ramirez</t>
  </si>
  <si>
    <t>abraham.martinez@arena-analytics.com</t>
  </si>
  <si>
    <t>C&amp;CL Report</t>
  </si>
  <si>
    <t>José Antonio Pedraza</t>
  </si>
  <si>
    <t>Share Forecast LATAM / Apollo 2.0</t>
  </si>
  <si>
    <t>ADRIÁN LANDAVERDE NAVA</t>
  </si>
  <si>
    <t>Adrián Landaverde Nava</t>
  </si>
  <si>
    <t>adrian@arena-analytics.com</t>
  </si>
  <si>
    <t>Científico(a) de Datos Mid</t>
  </si>
  <si>
    <t>GenAI</t>
  </si>
  <si>
    <t>Marco Aristeo</t>
  </si>
  <si>
    <t>Weather</t>
  </si>
  <si>
    <t>ADRIÁN PÉREZ ÁNGELES</t>
  </si>
  <si>
    <t>Adrián Pérez Ángeles</t>
  </si>
  <si>
    <t>adrian.perez@arena-analytics.com</t>
  </si>
  <si>
    <t>Científico(a) de Datos Jr</t>
  </si>
  <si>
    <t>Oscar Mancha</t>
  </si>
  <si>
    <t>ALDO ALEJANDRO GALLEGOS RUIZ</t>
  </si>
  <si>
    <t>Aldo Gallegos Ruiz</t>
  </si>
  <si>
    <t>aldo.gallegos@arena-analytics.com</t>
  </si>
  <si>
    <t>Luis Adrián Lara</t>
  </si>
  <si>
    <t xml:space="preserve">JESÚS ALEJANDRO OLIVARES PADILLA </t>
  </si>
  <si>
    <t>Alejandro Olivares Padilla</t>
  </si>
  <si>
    <t>alejandro.olivares@arena-analytics.com</t>
  </si>
  <si>
    <t>Ingeniero(a) de Datos Mid</t>
  </si>
  <si>
    <t>MSI</t>
  </si>
  <si>
    <t>ANDREA GUADALUPE PLASCENCIA RODRÍGUEZ</t>
  </si>
  <si>
    <t>Andrea Plascencia Rodríguez</t>
  </si>
  <si>
    <t>andrea.plascencia@arena-analytics.com</t>
  </si>
  <si>
    <t>Ingeniero(a) de Datos Jr</t>
  </si>
  <si>
    <t xml:space="preserve">JOSÉ ANTONIO PEDRAZA RANGEL </t>
  </si>
  <si>
    <t>Antonio Pedraza Rangel</t>
  </si>
  <si>
    <t>jose.pedraza@arena-analytics.com</t>
  </si>
  <si>
    <t>Product Manager Snr</t>
  </si>
  <si>
    <t xml:space="preserve">CARLOS ALBERTO RUIZ  ESTAÑÓN </t>
  </si>
  <si>
    <t>Carlos Alberto Ruiz Estañón</t>
  </si>
  <si>
    <t>carlos.ruiz@arena-analytics.com</t>
  </si>
  <si>
    <t>Data Ops / MPM</t>
  </si>
  <si>
    <t>Kareem Galván</t>
  </si>
  <si>
    <t>CARLOS ALFONSO BARRÓN RIVERA</t>
  </si>
  <si>
    <t>Carlos Alfonso Barrón Rivera</t>
  </si>
  <si>
    <t>alfonso.barron@arena-analytics.com</t>
  </si>
  <si>
    <t>DANTE OCTAVIO GODINEZ ALDANA</t>
  </si>
  <si>
    <t>Dante Godinez Aldana</t>
  </si>
  <si>
    <t>dante.godinez@arena-analytics.com</t>
  </si>
  <si>
    <t>UX / UI</t>
  </si>
  <si>
    <t>Coppel Portal (Sistema de Gestión de Categorías)</t>
  </si>
  <si>
    <t>Carolina Palacio</t>
  </si>
  <si>
    <t>DAVID PASTOR MARTÍNEZ ULLOA</t>
  </si>
  <si>
    <t>David Pastor Martínez Ulloa</t>
  </si>
  <si>
    <t>dpastor@arena-analytics.com</t>
  </si>
  <si>
    <t>DIANA ITZEL VAZQUEZ SANTIAGO</t>
  </si>
  <si>
    <t>Diana Vazquez Santiago</t>
  </si>
  <si>
    <t>divazquez@arena-analytics.com</t>
  </si>
  <si>
    <t>EDUARDO ALAIN ESPINOZA DE LA CRUZ</t>
  </si>
  <si>
    <t>Eduardo Alain Espinoza De La Cruz</t>
  </si>
  <si>
    <t>eduardo.espinoza@arena-analytics.com</t>
  </si>
  <si>
    <t>RAUL EDUARDO AYALA SOTO</t>
  </si>
  <si>
    <t>Eduardo Ayala</t>
  </si>
  <si>
    <t>eduardo.ayala@arena-analytics.com</t>
  </si>
  <si>
    <t>NSR PM &amp; Comm</t>
  </si>
  <si>
    <t>EDWARD IGNACIO GÓMEZ RUIZ</t>
  </si>
  <si>
    <t>Edward Gómez Ruiz</t>
  </si>
  <si>
    <t>edward.gomez@arena-analytics.com</t>
  </si>
  <si>
    <t>Product Manager Mid</t>
  </si>
  <si>
    <t>ELÍAS ABRAHAM GARCÍA MENDOZA</t>
  </si>
  <si>
    <t>Elías García Mendoza</t>
  </si>
  <si>
    <t>elias.garcia@arena-analytics.com</t>
  </si>
  <si>
    <t>EMILIO OLMOS SÁNCHEZ</t>
  </si>
  <si>
    <t>Emilio Olmos Sánchez</t>
  </si>
  <si>
    <t>emilio.olmos@arena-analytics.com</t>
  </si>
  <si>
    <t>Product Manager Jr</t>
  </si>
  <si>
    <t>ERICK LÓPEZ CRUZ</t>
  </si>
  <si>
    <t>Erick López Cruz</t>
  </si>
  <si>
    <t>erick.lopez@arena-analytics.com</t>
  </si>
  <si>
    <t>FEDERICO LAGOS GUIZAR</t>
  </si>
  <si>
    <t>Federico Lagos</t>
  </si>
  <si>
    <t>flagos@arena-analytics.com</t>
  </si>
  <si>
    <t>FELIPE DE JESÚS ZETINA SALGADO</t>
  </si>
  <si>
    <t>Felipe Zetina Salgado</t>
  </si>
  <si>
    <t>felipe.zetina@arena-analytics.com</t>
  </si>
  <si>
    <t>FRANCISCO MANUEL BARRIOS PANIAGUA</t>
  </si>
  <si>
    <t>Francisco Barrios Paniagua</t>
  </si>
  <si>
    <t>fbarrios@arena-analytics.com</t>
  </si>
  <si>
    <t>Científico(a) de Datos Lead</t>
  </si>
  <si>
    <t>ERIKA GABRIELA TOSTADO MILLAN</t>
  </si>
  <si>
    <t>Gabriela Tostado</t>
  </si>
  <si>
    <r>
      <t>gabriela.tostado@arena-analytics.com</t>
    </r>
    <r>
      <rPr>
        <sz val="8"/>
        <color rgb="FF000000"/>
        <rFont val="Aptos"/>
        <family val="2"/>
      </rPr>
      <t> </t>
    </r>
  </si>
  <si>
    <t>JOSE GERARDO ESPINOZA JIMENEZ</t>
  </si>
  <si>
    <t>Gerardo Espinoza Jimenez</t>
  </si>
  <si>
    <t>gerardo@arena-analytics.com</t>
  </si>
  <si>
    <t xml:space="preserve">ILSE HERNÁNDEZ MINUTTI </t>
  </si>
  <si>
    <t>Ilse Hernández Minutti</t>
  </si>
  <si>
    <t>ilse.hernandez@arena-analytics.com</t>
  </si>
  <si>
    <t>IÑAKI FERNÁNDEZ FISCAL</t>
  </si>
  <si>
    <t>Iñaki Fernández Fiscal</t>
  </si>
  <si>
    <t>inaki.fernandez@arena-analytics.com</t>
  </si>
  <si>
    <t>JAVIER MARTÍNEZ CARRANZA</t>
  </si>
  <si>
    <t>Javier Martínez Carranza</t>
  </si>
  <si>
    <t>javier.martinez@arena-analytics.com</t>
  </si>
  <si>
    <t>JORGE ANTONIO VARGAS RAMOS</t>
  </si>
  <si>
    <t>Jorge Vargas Ramos</t>
  </si>
  <si>
    <t>jorge.vargas@arena-analytics.com</t>
  </si>
  <si>
    <t>JOSE ROBLES NORIEGA</t>
  </si>
  <si>
    <t>Jose Robles Noriega</t>
  </si>
  <si>
    <t>jrobles@arena-analytics.com</t>
  </si>
  <si>
    <t>Científico(a) de Datos Snr</t>
  </si>
  <si>
    <t>JUAN DANIEL GRANADOS ROMO</t>
  </si>
  <si>
    <t>Juan Daniel Granados</t>
  </si>
  <si>
    <t>juan.granados@arena-analytics.com</t>
  </si>
  <si>
    <t>JUAN LUIS VELÁZQUEZ MORALES</t>
  </si>
  <si>
    <t>Juan Luis Velázquez Morales</t>
  </si>
  <si>
    <t>juan.velazquez@arena-analytics.com</t>
  </si>
  <si>
    <t>JUAN PABLO MONTOYA GUZMÁN</t>
  </si>
  <si>
    <t>Juan Pablo Montoya Guzmán</t>
  </si>
  <si>
    <t>juan.montoya@arena-analytics.com</t>
  </si>
  <si>
    <t>KAREEM GALVÁN DELGADILLO</t>
  </si>
  <si>
    <t>kareem.galvan@arena-analytics.com</t>
  </si>
  <si>
    <t>Hypercare Migración 360 a 720</t>
  </si>
  <si>
    <t>LORENA MONSERRAT CAMPUZANO SÁNCHEZ</t>
  </si>
  <si>
    <t>Lorena Campuzano Sánchez</t>
  </si>
  <si>
    <t>lorena.campuzano@arena-analytics.com</t>
  </si>
  <si>
    <t>LORENZO LLAGUNO</t>
  </si>
  <si>
    <t>Lorenzo Llaguno</t>
  </si>
  <si>
    <t>lorenzo@arena-analytics.com</t>
  </si>
  <si>
    <t>AI Latam Office Program Manager</t>
  </si>
  <si>
    <t>LOURDES MARTINEZ MARTINEZ</t>
  </si>
  <si>
    <t>Lourdes Martínez Martínez</t>
  </si>
  <si>
    <t>lourdes.martinez@arena-analytics.com</t>
  </si>
  <si>
    <t>LUIS ADRIÁN LARA GARCÍA</t>
  </si>
  <si>
    <t>Luis Adrián Lara García</t>
  </si>
  <si>
    <t>luis.lara@arena-analytics.com</t>
  </si>
  <si>
    <t>LUIS ANTONIO FLORES CASTRO</t>
  </si>
  <si>
    <t>Luis Antonio Flores Castro</t>
  </si>
  <si>
    <t>luis.flores@arena-analytics.com</t>
  </si>
  <si>
    <t>LUIS JESUS BECERRIL VILLASEÑOR</t>
  </si>
  <si>
    <t>Luis Becerril Villaseñor</t>
  </si>
  <si>
    <t>luis@arena-analytics.com</t>
  </si>
  <si>
    <t>Product Manager Lead</t>
  </si>
  <si>
    <t>LUZ MARÍA GURROLA RAMOS</t>
  </si>
  <si>
    <t>Luz María Gurrola Ramos</t>
  </si>
  <si>
    <t>lmgurrola@arena-analytics.com</t>
  </si>
  <si>
    <t>MARCO ANTONIO ARISTEO GARCÍA</t>
  </si>
  <si>
    <t>Marco Aristeo García</t>
  </si>
  <si>
    <t>marco.aristeo@arena-analytics.com</t>
  </si>
  <si>
    <t>MARÍA MAGDALENA CASTRO SAM</t>
  </si>
  <si>
    <t>María Magdalena Castro Sam</t>
  </si>
  <si>
    <t xml:space="preserve">maria.castro@arena-analytics.com </t>
  </si>
  <si>
    <t>MARIANA CONTRERAS MENDEZ</t>
  </si>
  <si>
    <t>Mariana Contreras Mendez</t>
  </si>
  <si>
    <t>mariana.contreras@arena-analytics.com</t>
  </si>
  <si>
    <t>Urrea Bolsa de Horas</t>
  </si>
  <si>
    <t>Rodolfo Navarrete</t>
  </si>
  <si>
    <t>MAX BURKLE GOYA</t>
  </si>
  <si>
    <t>Max Burkle Goya</t>
  </si>
  <si>
    <t>mburkle@arena-analytics.com</t>
  </si>
  <si>
    <t>MICHAEL STEVEN DELGADO</t>
  </si>
  <si>
    <t>Michael Steven Delgado</t>
  </si>
  <si>
    <t>mdelgado@arena-analytics.com</t>
  </si>
  <si>
    <t>MIGUEL ANGEL AGUILAR CAMPA</t>
  </si>
  <si>
    <t>Miguel Angel Aguilar Campa</t>
  </si>
  <si>
    <t>angel.aguilar@arena-analytics.com</t>
  </si>
  <si>
    <t>OSCAR ANDRÉS MANCHA</t>
  </si>
  <si>
    <t>Oscar Mancha Mendoza</t>
  </si>
  <si>
    <t>omancha@arena-analytics.com</t>
  </si>
  <si>
    <t>Luis Becerril</t>
  </si>
  <si>
    <t>RODOLFO NAVARRETE PEREZ</t>
  </si>
  <si>
    <t>Rodolfo Navarrete Pérez</t>
  </si>
  <si>
    <t>rodolfo@arena-analytics.com</t>
  </si>
  <si>
    <t>Ingeniero(a) de Datos Lead</t>
  </si>
  <si>
    <t>RODRIGO CASIANO MORALES</t>
  </si>
  <si>
    <t>Rodrigo Casiano Morales</t>
  </si>
  <si>
    <t>rodrigo.casiano@arena-analytics.com</t>
  </si>
  <si>
    <t>Business Terms Harmonization &amp; SSOT</t>
  </si>
  <si>
    <t>RUBÉN ALEJANDRO RUIZ GÓMEZ</t>
  </si>
  <si>
    <t>Rubén Alejandro Ruiz Gómez</t>
  </si>
  <si>
    <t>alejandro.ruiz@arena-analytics.com</t>
  </si>
  <si>
    <t>SAMUEL AGUILAR RAMIREZ</t>
  </si>
  <si>
    <t>Samuel Aguilar</t>
  </si>
  <si>
    <t>samuel.aguilar@arena-analytics.com</t>
  </si>
  <si>
    <t>SEBASTIÁN JIMÉNEZ JIMÉNEZ</t>
  </si>
  <si>
    <t>Sebastián Jiménez Jiménez</t>
  </si>
  <si>
    <t>sebastian.jimenez@arena-analytics.com</t>
  </si>
  <si>
    <t>Employee</t>
  </si>
  <si>
    <t>Project</t>
  </si>
  <si>
    <t>Min of Start</t>
  </si>
  <si>
    <t>Max of End</t>
  </si>
  <si>
    <t>Rodin</t>
  </si>
  <si>
    <t>Dashboard Comercial Cono Sur</t>
  </si>
  <si>
    <t xml:space="preserve">Alejandro Olivares Padilla </t>
  </si>
  <si>
    <t xml:space="preserve">Antonio Pedraza Rangel </t>
  </si>
  <si>
    <t>Arturo Carranza Lucio</t>
  </si>
  <si>
    <t xml:space="preserve">Carlos Alberto Ruiz Estañón </t>
  </si>
  <si>
    <t xml:space="preserve">Ilse Hernández Minutti </t>
  </si>
  <si>
    <t xml:space="preserve">Juan Daniel Granados </t>
  </si>
  <si>
    <t>Mario De Gyves Pulido</t>
  </si>
  <si>
    <t>Héctor Rangel Castro</t>
  </si>
  <si>
    <t>Oscar Germán Nafarrate Salum</t>
  </si>
  <si>
    <t>ID</t>
  </si>
  <si>
    <t>Nombre</t>
  </si>
  <si>
    <t>Owner</t>
  </si>
  <si>
    <t>Responsable</t>
  </si>
  <si>
    <t>Kick-off</t>
  </si>
  <si>
    <t>Target Cierre</t>
  </si>
  <si>
    <t>Status</t>
  </si>
  <si>
    <t>Descripción</t>
  </si>
  <si>
    <t>P14</t>
  </si>
  <si>
    <t>The Coca Cola Company</t>
  </si>
  <si>
    <t>José Antonio Pedraza Rangel</t>
  </si>
  <si>
    <t>Mario De Gyves</t>
  </si>
  <si>
    <t>2026-01-01</t>
  </si>
  <si>
    <t>2026-09-30</t>
  </si>
  <si>
    <t>Delayed</t>
  </si>
  <si>
    <t/>
  </si>
  <si>
    <t>P12</t>
  </si>
  <si>
    <t>Oscar Andrés Mancha Mendoza</t>
  </si>
  <si>
    <t>2026-12-31</t>
  </si>
  <si>
    <t>On track</t>
  </si>
  <si>
    <t>P4</t>
  </si>
  <si>
    <t>Kareem Galván Delgadillo</t>
  </si>
  <si>
    <t>Oscar Nafarrate</t>
  </si>
  <si>
    <t>2025-06-03</t>
  </si>
  <si>
    <t>2028-01-31</t>
  </si>
  <si>
    <t>P9</t>
  </si>
  <si>
    <t>Iñaki Fernandez</t>
  </si>
  <si>
    <t>2026-02-16</t>
  </si>
  <si>
    <t>2026-06-30</t>
  </si>
  <si>
    <t>P21</t>
  </si>
  <si>
    <t>2026-04-06</t>
  </si>
  <si>
    <t>2026-12-30</t>
  </si>
  <si>
    <t>P13</t>
  </si>
  <si>
    <t>2025-03-11</t>
  </si>
  <si>
    <t>P8</t>
  </si>
  <si>
    <t>2026-01-20</t>
  </si>
  <si>
    <t>2026-06-05</t>
  </si>
  <si>
    <t>P18</t>
  </si>
  <si>
    <t>Kareem Galvan</t>
  </si>
  <si>
    <t>2026-03-23</t>
  </si>
  <si>
    <t>2026-06-12</t>
  </si>
  <si>
    <t>P22</t>
  </si>
  <si>
    <t>Marco Aristeo Garcia</t>
  </si>
  <si>
    <t>2026-04-13</t>
  </si>
  <si>
    <t>2027-01-15</t>
  </si>
  <si>
    <t>P19</t>
  </si>
  <si>
    <t>2026-06-22</t>
  </si>
  <si>
    <t>2026-09-18</t>
  </si>
  <si>
    <t>P15</t>
  </si>
  <si>
    <t>Cuervo</t>
  </si>
  <si>
    <t>Carlos Alejandro Rodríguez Ochoa</t>
  </si>
  <si>
    <t>2026-03-09</t>
  </si>
  <si>
    <t>2026-05-22</t>
  </si>
  <si>
    <t>P5</t>
  </si>
  <si>
    <t>Emanuel Alvarado</t>
  </si>
  <si>
    <t>2026-02-01</t>
  </si>
  <si>
    <t>2027-01-31</t>
  </si>
  <si>
    <t>P17</t>
  </si>
  <si>
    <t>Urrea</t>
  </si>
  <si>
    <t>Hector Rangel Castro</t>
  </si>
  <si>
    <t>2025-11-03</t>
  </si>
  <si>
    <t>2026-05-01</t>
  </si>
  <si>
    <t>P11</t>
  </si>
  <si>
    <t>Coppel</t>
  </si>
  <si>
    <t>Fernando Díaz</t>
  </si>
  <si>
    <t>2025-01-13</t>
  </si>
  <si>
    <t>2026-05-15</t>
  </si>
  <si>
    <t>P1</t>
  </si>
  <si>
    <t>2025-08-18</t>
  </si>
  <si>
    <t>2026-03-20</t>
  </si>
  <si>
    <t>P6</t>
  </si>
  <si>
    <t>2025-11-17</t>
  </si>
  <si>
    <t>2026-04-10</t>
  </si>
  <si>
    <t>P10</t>
  </si>
  <si>
    <t>2026-02-05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</si>
</sst>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0"/>
      <name val="Pluto Sans Cond Light"/>
      <family val="3"/>
    </font>
    <font>
      <sz val="11"/>
      <name val="Calibri"/>
      <family val="2"/>
    </font>
    <font>
      <sz val="11"/>
      <name val="Pluto Sans Cond Light"/>
      <family val="3"/>
    </font>
    <font>
      <b/>
      <sz val="11"/>
      <name val="Calibri"/>
      <family val="2"/>
      <scheme val="minor"/>
    </font>
    <font>
      <sz val="8"/>
      <color rgb="FF000000"/>
      <name val="Aptos"/>
      <family val="2"/>
    </font>
    <font>
      <sz val="11"/>
      <color theme="0"/>
      <name val="Pluto Sans Cond Light"/>
      <family val="3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8000"/>
      <name val="Pluto Sans Cond Light"/>
      <family val="3"/>
    </font>
    <font>
      <sz val="11"/>
      <color rgb="FFFF0000"/>
      <name val="Pluto Sans Cond Light"/>
      <family val="3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12" fillId="0" borderId="0"/>
  </cellStyleXfs>
  <cellXfs count="25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3" borderId="0" xfId="0" applyFill="1"/>
    <xf numFmtId="0" fontId="6" fillId="0" borderId="3" xfId="3" applyFont="1" applyBorder="1" applyAlignment="1">
      <alignment horizontal="center" vertical="center"/>
    </xf>
    <xf numFmtId="0" fontId="6" fillId="0" borderId="3" xfId="3" applyFont="1" applyBorder="1" applyAlignment="1">
      <alignment horizontal="left" vertical="center"/>
    </xf>
    <xf numFmtId="0" fontId="3" fillId="0" borderId="3" xfId="2" applyFill="1" applyBorder="1"/>
    <xf numFmtId="0" fontId="6" fillId="0" borderId="3" xfId="0" applyFont="1" applyBorder="1"/>
    <xf numFmtId="0" fontId="6" fillId="0" borderId="0" xfId="0" applyFont="1"/>
    <xf numFmtId="0" fontId="6" fillId="4" borderId="0" xfId="0" applyFont="1" applyFill="1"/>
    <xf numFmtId="0" fontId="6" fillId="5" borderId="0" xfId="0" applyFont="1" applyFill="1"/>
    <xf numFmtId="0" fontId="3" fillId="0" borderId="0" xfId="2" applyBorder="1"/>
    <xf numFmtId="0" fontId="6" fillId="0" borderId="0" xfId="3" applyFont="1" applyAlignment="1">
      <alignment horizontal="left" vertical="center"/>
    </xf>
    <xf numFmtId="0" fontId="3" fillId="0" borderId="4" xfId="2" applyFill="1" applyBorder="1"/>
    <xf numFmtId="0" fontId="7" fillId="0" borderId="0" xfId="0" applyFont="1"/>
    <xf numFmtId="0" fontId="2" fillId="2" borderId="0" xfId="0" applyFont="1" applyFill="1"/>
    <xf numFmtId="9" fontId="9" fillId="2" borderId="0" xfId="1" applyFont="1" applyFill="1" applyBorder="1" applyAlignment="1" applyProtection="1">
      <alignment horizontal="right"/>
    </xf>
    <xf numFmtId="2" fontId="9" fillId="2" borderId="0" xfId="3" applyNumberFormat="1" applyFont="1" applyFill="1" applyAlignment="1">
      <alignment horizontal="left" vertical="center"/>
    </xf>
    <xf numFmtId="0" fontId="9" fillId="2" borderId="0" xfId="0" applyFont="1" applyFill="1"/>
    <xf numFmtId="0" fontId="0" fillId="0" borderId="0" xfId="0" applyAlignment="1">
      <alignment horizontal="center"/>
    </xf>
    <xf numFmtId="14" fontId="0" fillId="0" borderId="0" xfId="0" applyNumberFormat="1"/>
    <xf numFmtId="0" fontId="10" fillId="0" borderId="0" xfId="0" applyFont="1"/>
    <xf numFmtId="0" fontId="12" fillId="0" borderId="0" xfId="4"/>
    <xf numFmtId="0" fontId="13" fillId="0" borderId="0" xfId="3" applyFont="1" applyAlignment="1">
      <alignment horizontal="left" vertical="center"/>
    </xf>
    <xf numFmtId="0" fontId="14" fillId="0" borderId="0" xfId="3" applyFont="1" applyAlignment="1">
      <alignment horizontal="left" vertical="center"/>
    </xf>
  </cellXfs>
  <cellStyles count="5">
    <cellStyle name="Hyperlink" xfId="2" builtinId="8"/>
    <cellStyle name="Normal" xfId="0" builtinId="0"/>
    <cellStyle name="Normal 2" xfId="3" xr:uid="{3F80AA39-5CB2-456C-AB21-EDEE4F8AB75F}"/>
    <cellStyle name="Normal 3" xfId="4" xr:uid="{2436508B-EB4F-43C0-8B8F-D0427FB14CB9}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BAC16CD0-8EE5-476D-9BA7-7CDF2CD6E155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1461CD-2249-4D70-8641-B6AD779D7559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d7097af9-5bb8-4c27-8b7d-512b8747e92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jrobles@arena-analytics.com" TargetMode="External"/><Relationship Id="rId18" Type="http://schemas.openxmlformats.org/officeDocument/2006/relationships/hyperlink" Target="mailto:divazquez@arena-analytics.com" TargetMode="External"/><Relationship Id="rId26" Type="http://schemas.openxmlformats.org/officeDocument/2006/relationships/hyperlink" Target="mailto:alfonso.barron@arena-analytics.com" TargetMode="External"/><Relationship Id="rId39" Type="http://schemas.openxmlformats.org/officeDocument/2006/relationships/hyperlink" Target="mailto:ilse.hernandez@arena-analytics.com" TargetMode="External"/><Relationship Id="rId21" Type="http://schemas.openxmlformats.org/officeDocument/2006/relationships/hyperlink" Target="mailto:alejandro.ruiz@arena-analytics.com" TargetMode="External"/><Relationship Id="rId34" Type="http://schemas.openxmlformats.org/officeDocument/2006/relationships/hyperlink" Target="mailto:lorena.campuzano@arena-analytics.com" TargetMode="External"/><Relationship Id="rId42" Type="http://schemas.openxmlformats.org/officeDocument/2006/relationships/hyperlink" Target="mailto:luis.lara@arena-analytics.com" TargetMode="External"/><Relationship Id="rId7" Type="http://schemas.openxmlformats.org/officeDocument/2006/relationships/hyperlink" Target="mailto:kareem.galvan@arena-analytics.com" TargetMode="External"/><Relationship Id="rId2" Type="http://schemas.openxmlformats.org/officeDocument/2006/relationships/hyperlink" Target="mailto:abraham.martinez@arena-analytics.com" TargetMode="External"/><Relationship Id="rId16" Type="http://schemas.openxmlformats.org/officeDocument/2006/relationships/hyperlink" Target="mailto:lorenzo@arena-analytics.com" TargetMode="External"/><Relationship Id="rId29" Type="http://schemas.openxmlformats.org/officeDocument/2006/relationships/hyperlink" Target="mailto:angel.aguilar@arena-analytics.com" TargetMode="External"/><Relationship Id="rId1" Type="http://schemas.openxmlformats.org/officeDocument/2006/relationships/hyperlink" Target="mailto:adrian.perez@arena-analytics.com" TargetMode="External"/><Relationship Id="rId6" Type="http://schemas.openxmlformats.org/officeDocument/2006/relationships/hyperlink" Target="mailto:inaki.fernandez@arena-analytics.com" TargetMode="External"/><Relationship Id="rId11" Type="http://schemas.openxmlformats.org/officeDocument/2006/relationships/hyperlink" Target="mailto:dpastor@arena-analytics.com" TargetMode="External"/><Relationship Id="rId24" Type="http://schemas.openxmlformats.org/officeDocument/2006/relationships/hyperlink" Target="mailto:juan.granados@arena-analytics.com" TargetMode="External"/><Relationship Id="rId32" Type="http://schemas.openxmlformats.org/officeDocument/2006/relationships/hyperlink" Target="mailto:carlos.ruiz@arena-analytics.com" TargetMode="External"/><Relationship Id="rId37" Type="http://schemas.openxmlformats.org/officeDocument/2006/relationships/hyperlink" Target="mailto:dante.godinez@arena-analytics.com" TargetMode="External"/><Relationship Id="rId40" Type="http://schemas.openxmlformats.org/officeDocument/2006/relationships/hyperlink" Target="mailto:andrea.plascencia@arena-analytics.com" TargetMode="External"/><Relationship Id="rId45" Type="http://schemas.microsoft.com/office/2019/04/relationships/namedSheetView" Target="../namedSheetViews/namedSheetView1.xml"/><Relationship Id="rId5" Type="http://schemas.openxmlformats.org/officeDocument/2006/relationships/hyperlink" Target="mailto:alejandro.olivares@arena-analytics.com" TargetMode="External"/><Relationship Id="rId15" Type="http://schemas.openxmlformats.org/officeDocument/2006/relationships/hyperlink" Target="mailto:rodolfo@arena-analytics.com" TargetMode="External"/><Relationship Id="rId23" Type="http://schemas.openxmlformats.org/officeDocument/2006/relationships/hyperlink" Target="mailto:maria.castro@arena-analytics.com" TargetMode="External"/><Relationship Id="rId28" Type="http://schemas.openxmlformats.org/officeDocument/2006/relationships/hyperlink" Target="mailto:juan.velazquez@arena-analytics.com" TargetMode="External"/><Relationship Id="rId36" Type="http://schemas.openxmlformats.org/officeDocument/2006/relationships/hyperlink" Target="mailto:edward.gomez@arena-analytics.com" TargetMode="External"/><Relationship Id="rId10" Type="http://schemas.openxmlformats.org/officeDocument/2006/relationships/hyperlink" Target="mailto:mdelgado@arena-analytics.com" TargetMode="External"/><Relationship Id="rId19" Type="http://schemas.openxmlformats.org/officeDocument/2006/relationships/hyperlink" Target="mailto:omancha@arena-analytics.com" TargetMode="External"/><Relationship Id="rId31" Type="http://schemas.openxmlformats.org/officeDocument/2006/relationships/hyperlink" Target="mailto:juan.montoya@arena-analytics.com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mailto:adrian@arena-analytics.com" TargetMode="External"/><Relationship Id="rId9" Type="http://schemas.openxmlformats.org/officeDocument/2006/relationships/hyperlink" Target="mailto:sebastian.jimenez@arena-analytics.com" TargetMode="External"/><Relationship Id="rId14" Type="http://schemas.openxmlformats.org/officeDocument/2006/relationships/hyperlink" Target="mailto:luis@arena-analytics.com" TargetMode="External"/><Relationship Id="rId22" Type="http://schemas.openxmlformats.org/officeDocument/2006/relationships/hyperlink" Target="mailto:marco.aristeo@arena-analytics.com" TargetMode="External"/><Relationship Id="rId27" Type="http://schemas.openxmlformats.org/officeDocument/2006/relationships/hyperlink" Target="mailto:eduardo.espinoza@arena-analytics.com" TargetMode="External"/><Relationship Id="rId30" Type="http://schemas.openxmlformats.org/officeDocument/2006/relationships/hyperlink" Target="mailto:flagos@arena-analytics.com" TargetMode="External"/><Relationship Id="rId35" Type="http://schemas.openxmlformats.org/officeDocument/2006/relationships/hyperlink" Target="mailto:luis.flores@arena-analytics.com" TargetMode="External"/><Relationship Id="rId43" Type="http://schemas.openxmlformats.org/officeDocument/2006/relationships/hyperlink" Target="mailto:jose.pedraza@arena-analytics.com" TargetMode="External"/><Relationship Id="rId8" Type="http://schemas.openxmlformats.org/officeDocument/2006/relationships/hyperlink" Target="mailto:erick.lopez@arena-analytics.com" TargetMode="External"/><Relationship Id="rId3" Type="http://schemas.openxmlformats.org/officeDocument/2006/relationships/hyperlink" Target="mailto:aldo.gallegos@arena-analytics.com" TargetMode="External"/><Relationship Id="rId12" Type="http://schemas.openxmlformats.org/officeDocument/2006/relationships/hyperlink" Target="mailto:mburkle@arena-analytics.com" TargetMode="External"/><Relationship Id="rId17" Type="http://schemas.openxmlformats.org/officeDocument/2006/relationships/hyperlink" Target="mailto:fbarrios@arena-analytics.com" TargetMode="External"/><Relationship Id="rId25" Type="http://schemas.openxmlformats.org/officeDocument/2006/relationships/hyperlink" Target="mailto:javier.martinez@arena-analytics.com" TargetMode="External"/><Relationship Id="rId33" Type="http://schemas.openxmlformats.org/officeDocument/2006/relationships/hyperlink" Target="mailto:felipe.zetina@arena-analytics.com" TargetMode="External"/><Relationship Id="rId38" Type="http://schemas.openxmlformats.org/officeDocument/2006/relationships/hyperlink" Target="mailto:elias.garcia@arena-analytics.com" TargetMode="External"/><Relationship Id="rId20" Type="http://schemas.openxmlformats.org/officeDocument/2006/relationships/hyperlink" Target="mailto:mariana.contreras@arena-analytics.com" TargetMode="External"/><Relationship Id="rId41" Type="http://schemas.openxmlformats.org/officeDocument/2006/relationships/hyperlink" Target="mailto:lourdes.martinez@arena-analyti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5E842-FE11-4215-9F75-1CC4264A7D4B}">
  <dimension ref="A1:BO54"/>
  <sheetViews>
    <sheetView tabSelected="1" topLeftCell="K43" zoomScale="70" zoomScaleNormal="70" workbookViewId="0">
      <selection activeCell="P50" sqref="P50"/>
    </sheetView>
  </sheetViews>
  <sheetFormatPr defaultColWidth="11.42578125" defaultRowHeight="14.45"/>
  <cols>
    <col min="1" max="1" width="6.42578125" style="19" customWidth="1"/>
    <col min="2" max="2" width="46.7109375" customWidth="1"/>
    <col min="3" max="3" width="29.5703125" customWidth="1"/>
    <col min="4" max="4" width="40.42578125" style="14" customWidth="1"/>
    <col min="5" max="5" width="24.5703125" hidden="1" customWidth="1"/>
    <col min="6" max="7" width="32.42578125" customWidth="1"/>
    <col min="8" max="8" width="45.85546875" customWidth="1"/>
    <col min="9" max="9" width="20.5703125" bestFit="1" customWidth="1"/>
    <col min="10" max="10" width="24.85546875" customWidth="1"/>
    <col min="11" max="15" width="32.42578125" customWidth="1"/>
    <col min="16" max="16" width="32" bestFit="1" customWidth="1"/>
  </cols>
  <sheetData>
    <row r="1" spans="1:67" s="3" customFormat="1" ht="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</row>
    <row r="2" spans="1:67" s="8" customFormat="1" ht="15">
      <c r="A2" s="4">
        <v>1</v>
      </c>
      <c r="B2" s="5" t="s">
        <v>16</v>
      </c>
      <c r="C2" s="5" t="s">
        <v>17</v>
      </c>
      <c r="D2" s="6" t="s">
        <v>18</v>
      </c>
      <c r="E2" s="5" t="s">
        <v>19</v>
      </c>
      <c r="F2" s="5" t="s">
        <v>20</v>
      </c>
      <c r="G2" s="23" t="str">
        <f>_xlfn.XLOOKUP(H2,'Proyectos Dueños'!$B$2:$B$18,'Proyectos Dueños'!$C$2:$C$18,"")</f>
        <v>The Coca Cola Company</v>
      </c>
      <c r="H2" s="12" t="s">
        <v>21</v>
      </c>
      <c r="I2" s="23" t="s">
        <v>22</v>
      </c>
      <c r="J2" s="23"/>
      <c r="K2" s="12" t="s">
        <v>23</v>
      </c>
      <c r="L2" s="23" t="str">
        <f>_xlfn.XLOOKUP(K2,'Proyectos Dueños'!$B$2:$B$18,'Proyectos Dueños'!$D$2:$D$18,"")</f>
        <v>Kareem Galvan</v>
      </c>
      <c r="M2" s="12" t="s">
        <v>24</v>
      </c>
      <c r="N2" s="23" t="str">
        <f>_xlfn.XLOOKUP(M2,'Proyectos Dueños'!$B$2:$B$18,'Proyectos Dueños'!$D$2:$D$18,"")</f>
        <v>Luis Adrián Lara García</v>
      </c>
      <c r="O2" s="12" t="s">
        <v>25</v>
      </c>
      <c r="P2" s="23"/>
    </row>
    <row r="3" spans="1:67" s="8" customFormat="1" ht="15" customHeight="1">
      <c r="A3" s="4">
        <v>2</v>
      </c>
      <c r="B3" s="7" t="s">
        <v>26</v>
      </c>
      <c r="C3" s="7" t="s">
        <v>27</v>
      </c>
      <c r="D3" s="6" t="s">
        <v>28</v>
      </c>
      <c r="E3" s="5" t="s">
        <v>19</v>
      </c>
      <c r="F3" s="5" t="s">
        <v>20</v>
      </c>
      <c r="G3" s="23" t="str">
        <f>_xlfn.XLOOKUP(H3,'Proyectos Dueños'!$B$2:$B$18,'Proyectos Dueños'!$C$2:$C$18,"")</f>
        <v>The Coca Cola Company</v>
      </c>
      <c r="H3" s="5" t="s">
        <v>29</v>
      </c>
      <c r="I3" s="23" t="s">
        <v>30</v>
      </c>
      <c r="J3" s="23"/>
      <c r="K3" s="5"/>
      <c r="L3" s="23" t="str">
        <f>_xlfn.XLOOKUP(K3,'Proyectos Dueños'!$B$2:$B$18,'Proyectos Dueños'!$D$2:$D$18,"")</f>
        <v/>
      </c>
      <c r="M3" s="5" t="s">
        <v>24</v>
      </c>
      <c r="N3" s="23" t="str">
        <f>_xlfn.XLOOKUP(M3,'Proyectos Dueños'!$B$2:$B$18,'Proyectos Dueños'!$D$2:$D$18,"")</f>
        <v>Luis Adrián Lara García</v>
      </c>
      <c r="O3" s="12" t="s">
        <v>31</v>
      </c>
      <c r="P3" s="24"/>
    </row>
    <row r="4" spans="1:67" s="9" customFormat="1" ht="15" customHeight="1">
      <c r="A4" s="4">
        <v>3</v>
      </c>
      <c r="B4" s="5" t="s">
        <v>32</v>
      </c>
      <c r="C4" s="5" t="s">
        <v>33</v>
      </c>
      <c r="D4" s="6" t="s">
        <v>34</v>
      </c>
      <c r="E4" s="5" t="s">
        <v>19</v>
      </c>
      <c r="F4" s="5" t="s">
        <v>35</v>
      </c>
      <c r="G4" s="23" t="str">
        <f>_xlfn.XLOOKUP(H4,'Proyectos Dueños'!$B$2:$B$18,'Proyectos Dueños'!$C$2:$C$18,"")</f>
        <v>The Coca Cola Company</v>
      </c>
      <c r="H4" s="5" t="s">
        <v>36</v>
      </c>
      <c r="I4" s="23" t="s">
        <v>37</v>
      </c>
      <c r="J4" s="23"/>
      <c r="K4" s="5" t="s">
        <v>38</v>
      </c>
      <c r="L4" s="23" t="str">
        <f>_xlfn.XLOOKUP(K4,'Proyectos Dueños'!$B$2:$B$18,'Proyectos Dueños'!$D$2:$D$18,"")</f>
        <v>Eduardo Ayala</v>
      </c>
      <c r="M4" s="5"/>
      <c r="N4" s="23" t="str">
        <f>_xlfn.XLOOKUP(M4,'Proyectos Dueños'!$B$2:$B$18,'Proyectos Dueños'!$D$2:$D$18,"")</f>
        <v/>
      </c>
      <c r="O4" s="5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</row>
    <row r="5" spans="1:67" s="10" customFormat="1" ht="15">
      <c r="A5" s="4">
        <v>4</v>
      </c>
      <c r="B5" s="7" t="s">
        <v>39</v>
      </c>
      <c r="C5" s="7" t="s">
        <v>40</v>
      </c>
      <c r="D5" s="6" t="s">
        <v>41</v>
      </c>
      <c r="E5" s="5" t="s">
        <v>19</v>
      </c>
      <c r="F5" s="5" t="s">
        <v>42</v>
      </c>
      <c r="G5" s="23" t="str">
        <f>_xlfn.XLOOKUP(H5,'Proyectos Dueños'!$B$2:$B$18,'Proyectos Dueños'!$C$2:$C$18,"")</f>
        <v>The Coca Cola Company</v>
      </c>
      <c r="H5" s="5" t="s">
        <v>31</v>
      </c>
      <c r="I5" s="23" t="s">
        <v>43</v>
      </c>
      <c r="J5" s="23"/>
      <c r="K5" s="5"/>
      <c r="L5" s="23" t="str">
        <f>_xlfn.XLOOKUP(K5,'Proyectos Dueños'!$B$2:$B$18,'Proyectos Dueños'!$D$2:$D$18,"")</f>
        <v/>
      </c>
      <c r="M5" s="5"/>
      <c r="N5" s="23" t="str">
        <f>_xlfn.XLOOKUP(M5,'Proyectos Dueños'!$B$2:$B$18,'Proyectos Dueños'!$D$2:$D$18,"")</f>
        <v/>
      </c>
      <c r="O5" s="5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</row>
    <row r="6" spans="1:67" s="10" customFormat="1" ht="15">
      <c r="A6" s="4">
        <v>5</v>
      </c>
      <c r="B6" s="5" t="s">
        <v>44</v>
      </c>
      <c r="C6" s="5" t="s">
        <v>45</v>
      </c>
      <c r="D6" s="6" t="s">
        <v>46</v>
      </c>
      <c r="E6" s="5" t="s">
        <v>19</v>
      </c>
      <c r="F6" s="5" t="s">
        <v>42</v>
      </c>
      <c r="G6" s="23" t="str">
        <f>_xlfn.XLOOKUP(H6,'Proyectos Dueños'!$B$2:$B$18,'Proyectos Dueños'!$C$2:$C$18,"")</f>
        <v>The Coca Cola Company</v>
      </c>
      <c r="H6" s="5" t="s">
        <v>24</v>
      </c>
      <c r="I6" s="23" t="s">
        <v>47</v>
      </c>
      <c r="J6" s="23"/>
      <c r="K6" s="5" t="s">
        <v>31</v>
      </c>
      <c r="L6" s="23" t="str">
        <f>_xlfn.XLOOKUP(K6,'Proyectos Dueños'!$B$2:$B$18,'Proyectos Dueños'!$D$2:$D$18,"")</f>
        <v>Oscar Andrés Mancha Mendoza</v>
      </c>
      <c r="M6" s="5"/>
      <c r="N6" s="23" t="str">
        <f>_xlfn.XLOOKUP(M6,'Proyectos Dueños'!$B$2:$B$18,'Proyectos Dueños'!$D$2:$D$18,"")</f>
        <v/>
      </c>
      <c r="O6" s="5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</row>
    <row r="7" spans="1:67" s="8" customFormat="1" ht="15">
      <c r="A7" s="4">
        <v>8</v>
      </c>
      <c r="B7" s="5" t="s">
        <v>48</v>
      </c>
      <c r="C7" s="5" t="s">
        <v>49</v>
      </c>
      <c r="D7" s="6" t="s">
        <v>50</v>
      </c>
      <c r="E7" s="5" t="s">
        <v>19</v>
      </c>
      <c r="F7" s="5" t="s">
        <v>51</v>
      </c>
      <c r="G7" s="23" t="str">
        <f>_xlfn.XLOOKUP(H7,'Proyectos Dueños'!$B$2:$B$18,'Proyectos Dueños'!$C$2:$C$18,"")</f>
        <v>The Coca Cola Company</v>
      </c>
      <c r="H7" s="5" t="s">
        <v>52</v>
      </c>
      <c r="I7" s="23" t="s">
        <v>30</v>
      </c>
      <c r="J7" s="23"/>
      <c r="K7" s="5"/>
      <c r="L7" s="23" t="str">
        <f>_xlfn.XLOOKUP(K7,'Proyectos Dueños'!$B$2:$B$18,'Proyectos Dueños'!$D$2:$D$18,"")</f>
        <v/>
      </c>
      <c r="M7" s="5"/>
      <c r="N7" s="23" t="str">
        <f>_xlfn.XLOOKUP(M7,'Proyectos Dueños'!$B$2:$B$18,'Proyectos Dueños'!$D$2:$D$18,"")</f>
        <v/>
      </c>
      <c r="O7" s="5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</row>
    <row r="8" spans="1:67" s="8" customFormat="1" ht="15">
      <c r="A8" s="4">
        <v>10</v>
      </c>
      <c r="B8" s="8" t="s">
        <v>53</v>
      </c>
      <c r="C8" s="8" t="s">
        <v>54</v>
      </c>
      <c r="D8" s="11" t="s">
        <v>55</v>
      </c>
      <c r="E8" s="12" t="s">
        <v>19</v>
      </c>
      <c r="F8" s="12" t="s">
        <v>56</v>
      </c>
      <c r="G8" s="23" t="str">
        <f>_xlfn.XLOOKUP(H8,'Proyectos Dueños'!$B$2:$B$18,'Proyectos Dueños'!$C$2:$C$18,"")</f>
        <v>The Coca Cola Company</v>
      </c>
      <c r="H8" s="12" t="s">
        <v>36</v>
      </c>
      <c r="I8" s="23" t="s">
        <v>37</v>
      </c>
      <c r="J8" s="23"/>
      <c r="K8" s="12"/>
      <c r="L8" s="23" t="str">
        <f>_xlfn.XLOOKUP(K8,'Proyectos Dueños'!$B$2:$B$18,'Proyectos Dueños'!$D$2:$D$18,"")</f>
        <v/>
      </c>
      <c r="M8" s="12"/>
      <c r="N8" s="23" t="str">
        <f>_xlfn.XLOOKUP(M8,'Proyectos Dueños'!$B$2:$B$18,'Proyectos Dueños'!$D$2:$D$18,"")</f>
        <v/>
      </c>
      <c r="O8" s="12"/>
    </row>
    <row r="9" spans="1:67" s="8" customFormat="1" ht="15" customHeight="1">
      <c r="A9" s="4">
        <v>11</v>
      </c>
      <c r="B9" s="7" t="s">
        <v>57</v>
      </c>
      <c r="C9" s="7" t="s">
        <v>58</v>
      </c>
      <c r="D9" s="6" t="s">
        <v>59</v>
      </c>
      <c r="E9" s="5" t="s">
        <v>19</v>
      </c>
      <c r="F9" s="5" t="s">
        <v>60</v>
      </c>
      <c r="G9" s="23" t="str">
        <f>_xlfn.XLOOKUP(H9,'Proyectos Dueños'!$B$2:$B$18,'Proyectos Dueños'!$C$2:$C$18,"")</f>
        <v>The Coca Cola Company</v>
      </c>
      <c r="H9" s="5" t="s">
        <v>52</v>
      </c>
      <c r="I9" s="23" t="s">
        <v>22</v>
      </c>
      <c r="J9" s="23"/>
      <c r="K9" s="5"/>
      <c r="L9" s="23" t="str">
        <f>_xlfn.XLOOKUP(K9,'Proyectos Dueños'!$B$2:$B$18,'Proyectos Dueños'!$D$2:$D$18,"")</f>
        <v/>
      </c>
      <c r="M9" s="5"/>
      <c r="N9" s="23" t="str">
        <f>_xlfn.XLOOKUP(M9,'Proyectos Dueños'!$B$2:$B$18,'Proyectos Dueños'!$D$2:$D$18,"")</f>
        <v/>
      </c>
      <c r="O9" s="5"/>
    </row>
    <row r="10" spans="1:67" s="8" customFormat="1" ht="15" customHeight="1">
      <c r="A10" s="4">
        <v>13</v>
      </c>
      <c r="B10" s="7" t="s">
        <v>61</v>
      </c>
      <c r="C10" s="7" t="s">
        <v>62</v>
      </c>
      <c r="D10" s="6" t="s">
        <v>63</v>
      </c>
      <c r="E10" s="5" t="s">
        <v>19</v>
      </c>
      <c r="F10" s="5" t="s">
        <v>56</v>
      </c>
      <c r="G10" s="23" t="str">
        <f>_xlfn.XLOOKUP(H10,'Proyectos Dueños'!$B$2:$B$18,'Proyectos Dueños'!$C$2:$C$18,"")</f>
        <v>The Coca Cola Company</v>
      </c>
      <c r="H10" s="5" t="s">
        <v>64</v>
      </c>
      <c r="I10" s="23" t="s">
        <v>65</v>
      </c>
      <c r="J10" s="23"/>
      <c r="K10" s="5"/>
      <c r="L10" s="23" t="str">
        <f>_xlfn.XLOOKUP(K10,'Proyectos Dueños'!$B$2:$B$18,'Proyectos Dueños'!$D$2:$D$18,"")</f>
        <v/>
      </c>
      <c r="M10" s="5"/>
      <c r="N10" s="23" t="str">
        <f>_xlfn.XLOOKUP(M10,'Proyectos Dueños'!$B$2:$B$18,'Proyectos Dueños'!$D$2:$D$18,"")</f>
        <v/>
      </c>
      <c r="O10" s="5"/>
    </row>
    <row r="11" spans="1:67" s="8" customFormat="1" ht="15" customHeight="1">
      <c r="A11" s="4">
        <v>14</v>
      </c>
      <c r="B11" s="7" t="s">
        <v>66</v>
      </c>
      <c r="C11" s="7" t="s">
        <v>67</v>
      </c>
      <c r="D11" s="6" t="s">
        <v>68</v>
      </c>
      <c r="E11" s="5" t="s">
        <v>19</v>
      </c>
      <c r="F11" s="5" t="s">
        <v>56</v>
      </c>
      <c r="G11" s="23" t="str">
        <f>_xlfn.XLOOKUP(H11,'Proyectos Dueños'!$B$2:$B$18,'Proyectos Dueños'!$C$2:$C$18,"")</f>
        <v>The Coca Cola Company</v>
      </c>
      <c r="H11" s="5" t="s">
        <v>24</v>
      </c>
      <c r="I11" s="23" t="s">
        <v>47</v>
      </c>
      <c r="J11" s="23"/>
      <c r="K11" s="5"/>
      <c r="L11" s="23" t="str">
        <f>_xlfn.XLOOKUP(K11,'Proyectos Dueños'!$B$2:$B$18,'Proyectos Dueños'!$D$2:$D$18,"")</f>
        <v/>
      </c>
      <c r="N11" s="23" t="str">
        <f>_xlfn.XLOOKUP(M11,'Proyectos Dueños'!$B$2:$B$18,'Proyectos Dueños'!$D$2:$D$18,"")</f>
        <v/>
      </c>
      <c r="O11" s="5"/>
    </row>
    <row r="12" spans="1:67" s="10" customFormat="1" ht="15" customHeight="1">
      <c r="A12" s="4">
        <v>20</v>
      </c>
      <c r="B12" s="7" t="s">
        <v>69</v>
      </c>
      <c r="C12" s="7" t="s">
        <v>70</v>
      </c>
      <c r="D12" s="6" t="s">
        <v>71</v>
      </c>
      <c r="E12" s="5" t="s">
        <v>19</v>
      </c>
      <c r="F12" s="7" t="s">
        <v>72</v>
      </c>
      <c r="G12" s="23" t="str">
        <f>_xlfn.XLOOKUP(H12,'Proyectos Dueños'!$B$2:$B$18,'Proyectos Dueños'!$C$2:$C$18,"")</f>
        <v>Coppel</v>
      </c>
      <c r="H12" s="7" t="s">
        <v>73</v>
      </c>
      <c r="I12" s="23" t="s">
        <v>74</v>
      </c>
      <c r="J12" s="23"/>
      <c r="K12" s="7"/>
      <c r="L12" s="23" t="str">
        <f>_xlfn.XLOOKUP(K12,'Proyectos Dueños'!$B$2:$B$18,'Proyectos Dueños'!$D$2:$D$18,"")</f>
        <v/>
      </c>
      <c r="M12" s="7"/>
      <c r="N12" s="23" t="str">
        <f>_xlfn.XLOOKUP(M12,'Proyectos Dueños'!$B$2:$B$18,'Proyectos Dueños'!$D$2:$D$18,"")</f>
        <v/>
      </c>
      <c r="O12" s="7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</row>
    <row r="13" spans="1:67" s="8" customFormat="1" ht="15" customHeight="1">
      <c r="A13" s="4">
        <v>21</v>
      </c>
      <c r="B13" s="5" t="s">
        <v>75</v>
      </c>
      <c r="C13" s="5" t="s">
        <v>76</v>
      </c>
      <c r="D13" s="6" t="s">
        <v>77</v>
      </c>
      <c r="E13" s="5" t="s">
        <v>19</v>
      </c>
      <c r="F13" s="5" t="s">
        <v>51</v>
      </c>
      <c r="G13" s="23" t="str">
        <f>_xlfn.XLOOKUP(H13,'Proyectos Dueños'!$B$2:$B$18,'Proyectos Dueños'!$C$2:$C$18,"")</f>
        <v>The Coca Cola Company</v>
      </c>
      <c r="H13" s="5" t="s">
        <v>36</v>
      </c>
      <c r="I13" s="23" t="s">
        <v>37</v>
      </c>
      <c r="J13" s="23"/>
      <c r="K13" s="5"/>
      <c r="L13" s="23" t="str">
        <f>_xlfn.XLOOKUP(K13,'Proyectos Dueños'!$B$2:$B$18,'Proyectos Dueños'!$D$2:$D$18,"")</f>
        <v/>
      </c>
      <c r="M13" s="5"/>
      <c r="N13" s="23" t="str">
        <f>_xlfn.XLOOKUP(M13,'Proyectos Dueños'!$B$2:$B$18,'Proyectos Dueños'!$D$2:$D$18,"")</f>
        <v/>
      </c>
      <c r="O13" s="5"/>
    </row>
    <row r="14" spans="1:67" s="9" customFormat="1" ht="15" customHeight="1">
      <c r="A14" s="4">
        <v>22</v>
      </c>
      <c r="B14" s="5" t="s">
        <v>78</v>
      </c>
      <c r="C14" s="5" t="s">
        <v>79</v>
      </c>
      <c r="D14" s="6" t="s">
        <v>80</v>
      </c>
      <c r="E14" s="5" t="s">
        <v>19</v>
      </c>
      <c r="F14" s="5" t="s">
        <v>35</v>
      </c>
      <c r="G14" s="23" t="str">
        <f>_xlfn.XLOOKUP(H14,'Proyectos Dueños'!$B$2:$B$18,'Proyectos Dueños'!$C$2:$C$18,"")</f>
        <v>The Coca Cola Company</v>
      </c>
      <c r="H14" s="5" t="s">
        <v>31</v>
      </c>
      <c r="I14" s="23" t="s">
        <v>43</v>
      </c>
      <c r="J14" s="23"/>
      <c r="K14" s="5"/>
      <c r="L14" s="23" t="str">
        <f>_xlfn.XLOOKUP(K14,'Proyectos Dueños'!$B$2:$B$18,'Proyectos Dueños'!$D$2:$D$18,"")</f>
        <v/>
      </c>
      <c r="M14" s="5"/>
      <c r="N14" s="23" t="str">
        <f>_xlfn.XLOOKUP(M14,'Proyectos Dueños'!$B$2:$B$18,'Proyectos Dueños'!$D$2:$D$18,"")</f>
        <v/>
      </c>
      <c r="O14" s="5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</row>
    <row r="15" spans="1:67" s="10" customFormat="1" ht="15" customHeight="1">
      <c r="A15" s="4">
        <v>23</v>
      </c>
      <c r="B15" s="7" t="s">
        <v>81</v>
      </c>
      <c r="C15" s="7" t="s">
        <v>82</v>
      </c>
      <c r="D15" s="6" t="s">
        <v>83</v>
      </c>
      <c r="E15" s="5" t="s">
        <v>19</v>
      </c>
      <c r="F15" s="5" t="s">
        <v>56</v>
      </c>
      <c r="G15" s="23" t="str">
        <f>_xlfn.XLOOKUP(H15,'Proyectos Dueños'!$B$2:$B$18,'Proyectos Dueños'!$C$2:$C$18,"")</f>
        <v>The Coca Cola Company</v>
      </c>
      <c r="H15" s="5" t="s">
        <v>31</v>
      </c>
      <c r="I15" s="23" t="s">
        <v>43</v>
      </c>
      <c r="J15" s="23"/>
      <c r="K15" s="5"/>
      <c r="L15" s="23" t="str">
        <f>_xlfn.XLOOKUP(K15,'Proyectos Dueños'!$B$2:$B$18,'Proyectos Dueños'!$D$2:$D$18,"")</f>
        <v/>
      </c>
      <c r="M15" s="5"/>
      <c r="N15" s="23" t="str">
        <f>_xlfn.XLOOKUP(M15,'Proyectos Dueños'!$B$2:$B$18,'Proyectos Dueños'!$D$2:$D$18,"")</f>
        <v/>
      </c>
      <c r="O15" s="5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</row>
    <row r="16" spans="1:67" s="8" customFormat="1" ht="15" customHeight="1">
      <c r="A16" s="4">
        <v>24</v>
      </c>
      <c r="B16" s="5" t="s">
        <v>84</v>
      </c>
      <c r="C16" s="5" t="s">
        <v>85</v>
      </c>
      <c r="D16" s="6" t="s">
        <v>86</v>
      </c>
      <c r="E16" s="5" t="s">
        <v>19</v>
      </c>
      <c r="F16" s="5" t="s">
        <v>60</v>
      </c>
      <c r="G16" s="23" t="str">
        <f>_xlfn.XLOOKUP(H16,'Proyectos Dueños'!$B$2:$B$18,'Proyectos Dueños'!$C$2:$C$18,"")</f>
        <v>The Coca Cola Company</v>
      </c>
      <c r="H16" s="5" t="s">
        <v>87</v>
      </c>
      <c r="I16" s="23" t="s">
        <v>22</v>
      </c>
      <c r="J16" s="23"/>
      <c r="K16" s="5" t="s">
        <v>38</v>
      </c>
      <c r="L16" s="23" t="str">
        <f>_xlfn.XLOOKUP(K16,'Proyectos Dueños'!$B$2:$B$18,'Proyectos Dueños'!$D$2:$D$18,"")</f>
        <v>Eduardo Ayala</v>
      </c>
      <c r="M16" s="5"/>
      <c r="N16" s="23" t="str">
        <f>_xlfn.XLOOKUP(M16,'Proyectos Dueños'!$B$2:$B$18,'Proyectos Dueños'!$D$2:$D$18,"")</f>
        <v/>
      </c>
      <c r="O16" s="5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</row>
    <row r="17" spans="1:67" s="8" customFormat="1" ht="15" customHeight="1">
      <c r="A17" s="4">
        <v>25</v>
      </c>
      <c r="B17" s="7" t="s">
        <v>88</v>
      </c>
      <c r="C17" s="7" t="s">
        <v>89</v>
      </c>
      <c r="D17" s="6" t="s">
        <v>90</v>
      </c>
      <c r="E17" s="5" t="s">
        <v>19</v>
      </c>
      <c r="F17" s="7" t="s">
        <v>91</v>
      </c>
      <c r="G17" s="23" t="str">
        <f>_xlfn.XLOOKUP(H17,'Proyectos Dueños'!$B$2:$B$18,'Proyectos Dueños'!$C$2:$C$18,"")</f>
        <v>The Coca Cola Company</v>
      </c>
      <c r="H17" s="7" t="s">
        <v>31</v>
      </c>
      <c r="I17" s="23" t="s">
        <v>43</v>
      </c>
      <c r="J17" s="23"/>
      <c r="K17" s="7"/>
      <c r="L17" s="23" t="str">
        <f>_xlfn.XLOOKUP(K17,'Proyectos Dueños'!$B$2:$B$18,'Proyectos Dueños'!$D$2:$D$18,"")</f>
        <v/>
      </c>
      <c r="M17" s="7"/>
      <c r="N17" s="23" t="str">
        <f>_xlfn.XLOOKUP(M17,'Proyectos Dueños'!$B$2:$B$18,'Proyectos Dueños'!$D$2:$D$18,"")</f>
        <v/>
      </c>
      <c r="O17" s="7"/>
    </row>
    <row r="18" spans="1:67" s="8" customFormat="1" ht="15" customHeight="1">
      <c r="A18" s="4">
        <v>26</v>
      </c>
      <c r="B18" s="7" t="s">
        <v>92</v>
      </c>
      <c r="C18" s="7" t="s">
        <v>93</v>
      </c>
      <c r="D18" s="6" t="s">
        <v>94</v>
      </c>
      <c r="E18" s="5" t="s">
        <v>19</v>
      </c>
      <c r="F18" s="5" t="s">
        <v>56</v>
      </c>
      <c r="G18" s="23" t="str">
        <f>_xlfn.XLOOKUP(H18,'Proyectos Dueños'!$B$2:$B$18,'Proyectos Dueños'!$C$2:$C$18,"")</f>
        <v>The Coca Cola Company</v>
      </c>
      <c r="H18" s="5" t="s">
        <v>29</v>
      </c>
      <c r="I18" s="23" t="s">
        <v>30</v>
      </c>
      <c r="J18" s="23"/>
      <c r="K18" s="5" t="s">
        <v>21</v>
      </c>
      <c r="L18" s="23" t="str">
        <f>_xlfn.XLOOKUP(K18,'Proyectos Dueños'!$B$2:$B$18,'Proyectos Dueños'!$D$2:$D$18,"")</f>
        <v>Héctor Rangel Castro</v>
      </c>
      <c r="M18" s="5" t="s">
        <v>38</v>
      </c>
      <c r="N18" s="23" t="str">
        <f>_xlfn.XLOOKUP(M18,'Proyectos Dueños'!$B$2:$B$18,'Proyectos Dueños'!$D$2:$D$18,"")</f>
        <v>Eduardo Ayala</v>
      </c>
      <c r="O18" s="5"/>
    </row>
    <row r="19" spans="1:67" s="8" customFormat="1" ht="15" customHeight="1">
      <c r="A19" s="4">
        <v>27</v>
      </c>
      <c r="B19" s="5" t="s">
        <v>95</v>
      </c>
      <c r="C19" s="5" t="s">
        <v>96</v>
      </c>
      <c r="D19" s="6" t="s">
        <v>97</v>
      </c>
      <c r="E19" s="5" t="s">
        <v>19</v>
      </c>
      <c r="F19" s="5" t="s">
        <v>98</v>
      </c>
      <c r="G19" s="23" t="str">
        <f>_xlfn.XLOOKUP(H19,'Proyectos Dueños'!$B$2:$B$18,'Proyectos Dueños'!$C$2:$C$18,"")</f>
        <v>The Coca Cola Company</v>
      </c>
      <c r="H19" s="5" t="s">
        <v>52</v>
      </c>
      <c r="I19" s="23" t="s">
        <v>30</v>
      </c>
      <c r="J19" s="23"/>
      <c r="K19" s="5"/>
      <c r="L19" s="23" t="str">
        <f>_xlfn.XLOOKUP(K19,'Proyectos Dueños'!$B$2:$B$18,'Proyectos Dueños'!$D$2:$D$18,"")</f>
        <v/>
      </c>
      <c r="M19" s="5"/>
      <c r="N19" s="23" t="str">
        <f>_xlfn.XLOOKUP(M19,'Proyectos Dueños'!$B$2:$B$18,'Proyectos Dueños'!$D$2:$D$18,"")</f>
        <v/>
      </c>
      <c r="O19" s="5"/>
    </row>
    <row r="20" spans="1:67" s="8" customFormat="1" ht="15" customHeight="1">
      <c r="A20" s="4">
        <v>28</v>
      </c>
      <c r="B20" s="5" t="s">
        <v>99</v>
      </c>
      <c r="C20" s="5" t="s">
        <v>100</v>
      </c>
      <c r="D20" s="6" t="s">
        <v>101</v>
      </c>
      <c r="E20" s="5" t="s">
        <v>19</v>
      </c>
      <c r="F20" s="5" t="s">
        <v>56</v>
      </c>
      <c r="G20" s="23" t="str">
        <f>_xlfn.XLOOKUP(H20,'Proyectos Dueños'!$B$2:$B$18,'Proyectos Dueños'!$C$2:$C$18,"")</f>
        <v>The Coca Cola Company</v>
      </c>
      <c r="H20" s="5" t="s">
        <v>23</v>
      </c>
      <c r="I20" s="23" t="s">
        <v>65</v>
      </c>
      <c r="J20" s="23"/>
      <c r="K20" s="5" t="s">
        <v>87</v>
      </c>
      <c r="L20" s="23" t="str">
        <f>_xlfn.XLOOKUP(K20,'Proyectos Dueños'!$B$2:$B$18,'Proyectos Dueños'!$D$2:$D$18,"")</f>
        <v>Eduardo Ayala</v>
      </c>
      <c r="M20" s="5"/>
      <c r="N20" s="23" t="str">
        <f>_xlfn.XLOOKUP(M20,'Proyectos Dueños'!$B$2:$B$18,'Proyectos Dueños'!$D$2:$D$18,"")</f>
        <v/>
      </c>
      <c r="O20" s="5"/>
    </row>
    <row r="21" spans="1:67" s="10" customFormat="1" ht="15" customHeight="1">
      <c r="A21" s="4">
        <v>29</v>
      </c>
      <c r="B21" s="7" t="s">
        <v>102</v>
      </c>
      <c r="C21" s="7" t="s">
        <v>103</v>
      </c>
      <c r="D21" s="6" t="s">
        <v>104</v>
      </c>
      <c r="E21" s="5" t="s">
        <v>19</v>
      </c>
      <c r="F21" s="5" t="s">
        <v>20</v>
      </c>
      <c r="G21" s="23" t="str">
        <f>_xlfn.XLOOKUP(H21,'Proyectos Dueños'!$B$2:$B$18,'Proyectos Dueños'!$C$2:$C$18,"")</f>
        <v>The Coca Cola Company</v>
      </c>
      <c r="H21" s="5" t="s">
        <v>52</v>
      </c>
      <c r="I21" s="23" t="s">
        <v>30</v>
      </c>
      <c r="J21" s="23"/>
      <c r="K21" s="5"/>
      <c r="L21" s="23" t="str">
        <f>_xlfn.XLOOKUP(K21,'Proyectos Dueños'!$B$2:$B$18,'Proyectos Dueños'!$D$2:$D$18,"")</f>
        <v/>
      </c>
      <c r="M21" s="5"/>
      <c r="N21" s="23" t="str">
        <f>_xlfn.XLOOKUP(M21,'Proyectos Dueños'!$B$2:$B$18,'Proyectos Dueños'!$D$2:$D$18,"")</f>
        <v/>
      </c>
      <c r="O21" s="5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</row>
    <row r="22" spans="1:67" s="8" customFormat="1" ht="15" customHeight="1">
      <c r="A22" s="4">
        <v>30</v>
      </c>
      <c r="B22" s="7" t="s">
        <v>105</v>
      </c>
      <c r="C22" s="7" t="s">
        <v>106</v>
      </c>
      <c r="D22" s="6" t="s">
        <v>107</v>
      </c>
      <c r="E22" s="5" t="s">
        <v>19</v>
      </c>
      <c r="F22" s="5" t="s">
        <v>56</v>
      </c>
      <c r="G22" s="23" t="str">
        <f>_xlfn.XLOOKUP(H22,'Proyectos Dueños'!$B$2:$B$18,'Proyectos Dueños'!$C$2:$C$18,"")</f>
        <v>The Coca Cola Company</v>
      </c>
      <c r="H22" s="5" t="s">
        <v>52</v>
      </c>
      <c r="I22" s="23" t="s">
        <v>30</v>
      </c>
      <c r="J22" s="23"/>
      <c r="K22" s="5"/>
      <c r="L22" s="23" t="str">
        <f>_xlfn.XLOOKUP(K22,'Proyectos Dueños'!$B$2:$B$18,'Proyectos Dueños'!$D$2:$D$18,"")</f>
        <v/>
      </c>
      <c r="M22" s="5"/>
      <c r="N22" s="23" t="str">
        <f>_xlfn.XLOOKUP(M22,'Proyectos Dueños'!$B$2:$B$18,'Proyectos Dueños'!$D$2:$D$18,"")</f>
        <v/>
      </c>
      <c r="O22" s="5"/>
    </row>
    <row r="23" spans="1:67" s="8" customFormat="1" ht="15" customHeight="1">
      <c r="A23" s="4">
        <v>33</v>
      </c>
      <c r="B23" s="5" t="s">
        <v>108</v>
      </c>
      <c r="C23" s="5" t="s">
        <v>109</v>
      </c>
      <c r="D23" s="6" t="s">
        <v>110</v>
      </c>
      <c r="E23" s="5" t="s">
        <v>19</v>
      </c>
      <c r="F23" s="5" t="s">
        <v>111</v>
      </c>
      <c r="G23" s="23" t="str">
        <f>_xlfn.XLOOKUP(H23,'Proyectos Dueños'!$B$2:$B$18,'Proyectos Dueños'!$C$2:$C$18,"")</f>
        <v/>
      </c>
      <c r="H23" s="5"/>
      <c r="I23" s="23" t="s">
        <v>22</v>
      </c>
      <c r="J23" s="23"/>
      <c r="K23" s="5"/>
      <c r="L23" s="23"/>
      <c r="M23" s="5"/>
      <c r="N23" s="23"/>
      <c r="O23" s="5"/>
    </row>
    <row r="24" spans="1:67" s="8" customFormat="1" ht="15" customHeight="1">
      <c r="A24" s="4">
        <v>35</v>
      </c>
      <c r="B24" s="7" t="s">
        <v>112</v>
      </c>
      <c r="C24" s="7" t="s">
        <v>113</v>
      </c>
      <c r="D24" s="6" t="s">
        <v>114</v>
      </c>
      <c r="E24" s="5" t="s">
        <v>19</v>
      </c>
      <c r="F24" s="7" t="s">
        <v>72</v>
      </c>
      <c r="G24" s="23" t="str">
        <f>_xlfn.XLOOKUP(H24,'Proyectos Dueños'!$B$2:$B$18,'Proyectos Dueños'!$C$2:$C$18,"")</f>
        <v>Coppel</v>
      </c>
      <c r="H24" s="7" t="s">
        <v>73</v>
      </c>
      <c r="I24" s="23" t="s">
        <v>74</v>
      </c>
      <c r="J24" s="23"/>
      <c r="K24" s="7"/>
      <c r="L24" s="23" t="str">
        <f>_xlfn.XLOOKUP(K24,'Proyectos Dueños'!$B$2:$B$18,'Proyectos Dueños'!$D$2:$D$18,"")</f>
        <v/>
      </c>
      <c r="M24" s="7"/>
      <c r="N24" s="23" t="str">
        <f>_xlfn.XLOOKUP(M24,'Proyectos Dueños'!$B$2:$B$18,'Proyectos Dueños'!$D$2:$D$18,"")</f>
        <v/>
      </c>
      <c r="O24" s="7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</row>
    <row r="25" spans="1:67" s="8" customFormat="1" ht="15" customHeight="1">
      <c r="A25" s="4">
        <v>36</v>
      </c>
      <c r="B25" s="5" t="s">
        <v>115</v>
      </c>
      <c r="C25" s="5" t="s">
        <v>116</v>
      </c>
      <c r="D25" s="6" t="s">
        <v>117</v>
      </c>
      <c r="E25" s="5" t="s">
        <v>19</v>
      </c>
      <c r="F25" s="5" t="s">
        <v>91</v>
      </c>
      <c r="G25" s="23" t="str">
        <f>_xlfn.XLOOKUP(H25,'Proyectos Dueños'!$B$2:$B$18,'Proyectos Dueños'!$C$2:$C$18,"")</f>
        <v>The Coca Cola Company</v>
      </c>
      <c r="H25" s="5" t="s">
        <v>52</v>
      </c>
      <c r="I25" s="23" t="s">
        <v>30</v>
      </c>
      <c r="J25" s="23"/>
      <c r="K25" s="5"/>
      <c r="L25" s="23" t="str">
        <f>_xlfn.XLOOKUP(K25,'Proyectos Dueños'!$B$2:$B$18,'Proyectos Dueños'!$D$2:$D$18,"")</f>
        <v/>
      </c>
      <c r="M25" s="5"/>
      <c r="N25" s="23" t="str">
        <f>_xlfn.XLOOKUP(M25,'Proyectos Dueños'!$B$2:$B$18,'Proyectos Dueños'!$D$2:$D$18,"")</f>
        <v/>
      </c>
      <c r="O25" s="5"/>
    </row>
    <row r="26" spans="1:67" s="8" customFormat="1" ht="15" customHeight="1">
      <c r="A26" s="4">
        <v>40</v>
      </c>
      <c r="B26" s="7" t="s">
        <v>118</v>
      </c>
      <c r="C26" s="7" t="s">
        <v>119</v>
      </c>
      <c r="D26" s="6" t="s">
        <v>120</v>
      </c>
      <c r="E26" s="5" t="s">
        <v>19</v>
      </c>
      <c r="F26" s="7" t="s">
        <v>56</v>
      </c>
      <c r="G26" s="23" t="str">
        <f>_xlfn.XLOOKUP(H26,'Proyectos Dueños'!$B$2:$B$18,'Proyectos Dueños'!$C$2:$C$18,"")</f>
        <v>The Coca Cola Company</v>
      </c>
      <c r="H26" s="7" t="s">
        <v>21</v>
      </c>
      <c r="I26" s="23" t="s">
        <v>22</v>
      </c>
      <c r="J26" s="23"/>
      <c r="K26" s="7" t="s">
        <v>25</v>
      </c>
      <c r="L26" s="23" t="str">
        <f>_xlfn.XLOOKUP(K26,'Proyectos Dueños'!$B$2:$B$18,'Proyectos Dueños'!$D$2:$D$18,"")</f>
        <v>Marco Aristeo García</v>
      </c>
      <c r="M26" s="7"/>
      <c r="N26" s="23" t="str">
        <f>_xlfn.XLOOKUP(M26,'Proyectos Dueños'!$B$2:$B$18,'Proyectos Dueños'!$D$2:$D$18,"")</f>
        <v/>
      </c>
      <c r="O26" s="7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</row>
    <row r="27" spans="1:67" s="10" customFormat="1" ht="15" customHeight="1">
      <c r="A27" s="4">
        <v>41</v>
      </c>
      <c r="B27" s="7" t="s">
        <v>121</v>
      </c>
      <c r="C27" s="7" t="s">
        <v>122</v>
      </c>
      <c r="D27" s="6" t="s">
        <v>123</v>
      </c>
      <c r="E27" s="5" t="s">
        <v>19</v>
      </c>
      <c r="F27" s="7" t="s">
        <v>98</v>
      </c>
      <c r="G27" s="23" t="str">
        <f>_xlfn.XLOOKUP(H27,'Proyectos Dueños'!$B$2:$B$18,'Proyectos Dueños'!$C$2:$C$18,"")</f>
        <v>The Coca Cola Company</v>
      </c>
      <c r="H27" s="7" t="s">
        <v>36</v>
      </c>
      <c r="I27" s="23" t="s">
        <v>37</v>
      </c>
      <c r="J27" s="23"/>
      <c r="K27" s="7"/>
      <c r="L27" s="23" t="str">
        <f>_xlfn.XLOOKUP(K27,'Proyectos Dueños'!$B$2:$B$18,'Proyectos Dueños'!$D$2:$D$18,"")</f>
        <v/>
      </c>
      <c r="M27" s="7"/>
      <c r="N27" s="23" t="str">
        <f>_xlfn.XLOOKUP(M27,'Proyectos Dueños'!$B$2:$B$18,'Proyectos Dueños'!$D$2:$D$18,"")</f>
        <v/>
      </c>
      <c r="O27" s="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</row>
    <row r="28" spans="1:67" s="8" customFormat="1" ht="15" customHeight="1">
      <c r="A28" s="4">
        <v>43</v>
      </c>
      <c r="B28" s="7" t="s">
        <v>124</v>
      </c>
      <c r="C28" s="7" t="s">
        <v>125</v>
      </c>
      <c r="D28" s="6" t="s">
        <v>126</v>
      </c>
      <c r="E28" s="5" t="s">
        <v>19</v>
      </c>
      <c r="F28" s="5" t="s">
        <v>56</v>
      </c>
      <c r="G28" s="23" t="str">
        <f>_xlfn.XLOOKUP(H28,'Proyectos Dueños'!$B$2:$B$18,'Proyectos Dueños'!$C$2:$C$18,"")</f>
        <v>The Coca Cola Company</v>
      </c>
      <c r="H28" s="5" t="s">
        <v>31</v>
      </c>
      <c r="I28" s="23" t="s">
        <v>43</v>
      </c>
      <c r="J28" s="23"/>
      <c r="K28" s="5"/>
      <c r="L28" s="23" t="str">
        <f>_xlfn.XLOOKUP(K28,'Proyectos Dueños'!$B$2:$B$18,'Proyectos Dueños'!$D$2:$D$18,"")</f>
        <v/>
      </c>
      <c r="M28" s="5"/>
      <c r="N28" s="23" t="str">
        <f>_xlfn.XLOOKUP(M28,'Proyectos Dueños'!$B$2:$B$18,'Proyectos Dueños'!$D$2:$D$18,"")</f>
        <v/>
      </c>
      <c r="O28" s="5"/>
    </row>
    <row r="29" spans="1:67" s="8" customFormat="1" ht="15" customHeight="1">
      <c r="A29" s="4">
        <v>45</v>
      </c>
      <c r="B29" s="5" t="s">
        <v>127</v>
      </c>
      <c r="C29" s="5" t="s">
        <v>128</v>
      </c>
      <c r="D29" s="6" t="s">
        <v>129</v>
      </c>
      <c r="E29" s="5" t="s">
        <v>19</v>
      </c>
      <c r="F29" s="5" t="s">
        <v>72</v>
      </c>
      <c r="G29" s="23" t="str">
        <f>_xlfn.XLOOKUP(H29,'Proyectos Dueños'!$B$2:$B$18,'Proyectos Dueños'!$C$2:$C$18,"")</f>
        <v>Coppel</v>
      </c>
      <c r="H29" s="5" t="s">
        <v>73</v>
      </c>
      <c r="I29" s="23" t="s">
        <v>74</v>
      </c>
      <c r="J29" s="23"/>
      <c r="K29" s="5" t="s">
        <v>36</v>
      </c>
      <c r="L29" s="23" t="str">
        <f>_xlfn.XLOOKUP(K29,'Proyectos Dueños'!$B$2:$B$18,'Proyectos Dueños'!$D$2:$D$18,"")</f>
        <v>Iñaki Fernandez</v>
      </c>
      <c r="M29" s="5" t="s">
        <v>24</v>
      </c>
      <c r="N29" s="23" t="str">
        <f>_xlfn.XLOOKUP(M29,'Proyectos Dueños'!$B$2:$B$18,'Proyectos Dueños'!$D$2:$D$18,"")</f>
        <v>Luis Adrián Lara García</v>
      </c>
      <c r="O29" s="5"/>
    </row>
    <row r="30" spans="1:67" s="8" customFormat="1" ht="15" customHeight="1">
      <c r="A30" s="4">
        <v>46</v>
      </c>
      <c r="B30" s="5" t="s">
        <v>130</v>
      </c>
      <c r="C30" s="5" t="s">
        <v>131</v>
      </c>
      <c r="D30" s="6" t="s">
        <v>132</v>
      </c>
      <c r="E30" s="5" t="s">
        <v>19</v>
      </c>
      <c r="F30" s="5" t="s">
        <v>133</v>
      </c>
      <c r="G30" s="23" t="str">
        <f>_xlfn.XLOOKUP(H30,'Proyectos Dueños'!$B$2:$B$18,'Proyectos Dueños'!$C$2:$C$18,"")</f>
        <v>The Coca Cola Company</v>
      </c>
      <c r="H30" s="5" t="s">
        <v>24</v>
      </c>
      <c r="I30" s="23" t="s">
        <v>47</v>
      </c>
      <c r="J30" s="23"/>
      <c r="K30" s="5"/>
      <c r="L30" s="23" t="str">
        <f>_xlfn.XLOOKUP(K30,'Proyectos Dueños'!$B$2:$B$18,'Proyectos Dueños'!$D$2:$D$18,"")</f>
        <v/>
      </c>
      <c r="M30" s="5"/>
      <c r="N30" s="23" t="str">
        <f>_xlfn.XLOOKUP(M30,'Proyectos Dueños'!$B$2:$B$18,'Proyectos Dueños'!$D$2:$D$18,"")</f>
        <v/>
      </c>
      <c r="O30" s="5"/>
      <c r="BJ30" s="10"/>
      <c r="BK30" s="10"/>
      <c r="BL30" s="10"/>
      <c r="BM30" s="10"/>
      <c r="BN30" s="10"/>
      <c r="BO30" s="10"/>
    </row>
    <row r="31" spans="1:67" s="8" customFormat="1" ht="15" customHeight="1">
      <c r="A31" s="4">
        <v>49</v>
      </c>
      <c r="B31" s="5" t="s">
        <v>134</v>
      </c>
      <c r="C31" s="5" t="s">
        <v>135</v>
      </c>
      <c r="D31" s="6" t="s">
        <v>136</v>
      </c>
      <c r="E31" s="5" t="s">
        <v>19</v>
      </c>
      <c r="F31" s="5" t="s">
        <v>56</v>
      </c>
      <c r="G31" s="23" t="str">
        <f>_xlfn.XLOOKUP(H31,'Proyectos Dueños'!$B$2:$B$18,'Proyectos Dueños'!$C$2:$C$18,"")</f>
        <v>The Coca Cola Company</v>
      </c>
      <c r="H31" s="5" t="s">
        <v>52</v>
      </c>
      <c r="I31" s="23" t="s">
        <v>30</v>
      </c>
      <c r="J31" s="23"/>
      <c r="K31" s="5"/>
      <c r="L31" s="23" t="str">
        <f>_xlfn.XLOOKUP(K31,'Proyectos Dueños'!$B$2:$B$18,'Proyectos Dueños'!$D$2:$D$18,"")</f>
        <v/>
      </c>
      <c r="M31" s="5"/>
      <c r="N31" s="23" t="str">
        <f>_xlfn.XLOOKUP(M31,'Proyectos Dueños'!$B$2:$B$18,'Proyectos Dueños'!$D$2:$D$18,"")</f>
        <v/>
      </c>
      <c r="O31" s="5"/>
    </row>
    <row r="32" spans="1:67" s="8" customFormat="1" ht="15" customHeight="1">
      <c r="A32" s="4">
        <v>50</v>
      </c>
      <c r="B32" s="5" t="s">
        <v>137</v>
      </c>
      <c r="C32" s="5" t="s">
        <v>138</v>
      </c>
      <c r="D32" s="6" t="s">
        <v>139</v>
      </c>
      <c r="E32" s="5" t="s">
        <v>19</v>
      </c>
      <c r="F32" s="5" t="s">
        <v>56</v>
      </c>
      <c r="G32" s="23" t="str">
        <f>_xlfn.XLOOKUP(H32,'Proyectos Dueños'!$B$2:$B$18,'Proyectos Dueños'!$C$2:$C$18,"")</f>
        <v>The Coca Cola Company</v>
      </c>
      <c r="H32" s="5" t="s">
        <v>64</v>
      </c>
      <c r="I32" s="23" t="s">
        <v>65</v>
      </c>
      <c r="J32" s="23"/>
      <c r="K32" s="5"/>
      <c r="L32" s="23" t="str">
        <f>_xlfn.XLOOKUP(K32,'Proyectos Dueños'!$B$2:$B$18,'Proyectos Dueños'!$D$2:$D$18,"")</f>
        <v/>
      </c>
      <c r="M32" s="5"/>
      <c r="N32" s="23" t="str">
        <f>_xlfn.XLOOKUP(M32,'Proyectos Dueños'!$B$2:$B$18,'Proyectos Dueños'!$D$2:$D$18,"")</f>
        <v/>
      </c>
      <c r="O32" s="5"/>
    </row>
    <row r="33" spans="1:67" s="8" customFormat="1" ht="15" customHeight="1">
      <c r="A33" s="4">
        <v>51</v>
      </c>
      <c r="B33" s="7" t="s">
        <v>140</v>
      </c>
      <c r="C33" s="7" t="s">
        <v>141</v>
      </c>
      <c r="D33" s="6" t="s">
        <v>142</v>
      </c>
      <c r="E33" s="5" t="s">
        <v>19</v>
      </c>
      <c r="F33" s="7" t="s">
        <v>91</v>
      </c>
      <c r="G33" s="23" t="str">
        <f>_xlfn.XLOOKUP(H33,'Proyectos Dueños'!$B$2:$B$18,'Proyectos Dueños'!$C$2:$C$18,"")</f>
        <v>The Coca Cola Company</v>
      </c>
      <c r="H33" s="7" t="s">
        <v>64</v>
      </c>
      <c r="I33" s="23" t="s">
        <v>65</v>
      </c>
      <c r="J33" s="23"/>
      <c r="K33" s="7"/>
      <c r="L33" s="23" t="str">
        <f>_xlfn.XLOOKUP(K33,'Proyectos Dueños'!$B$2:$B$18,'Proyectos Dueños'!$D$2:$D$18,"")</f>
        <v/>
      </c>
      <c r="M33" s="7"/>
      <c r="N33" s="23" t="str">
        <f>_xlfn.XLOOKUP(M33,'Proyectos Dueños'!$B$2:$B$18,'Proyectos Dueños'!$D$2:$D$18,"")</f>
        <v/>
      </c>
      <c r="O33" s="7"/>
    </row>
    <row r="34" spans="1:67" s="8" customFormat="1" ht="15" customHeight="1">
      <c r="A34" s="4">
        <v>52</v>
      </c>
      <c r="B34" s="5" t="s">
        <v>143</v>
      </c>
      <c r="C34" s="5" t="s">
        <v>65</v>
      </c>
      <c r="D34" s="6" t="s">
        <v>144</v>
      </c>
      <c r="E34" s="5" t="s">
        <v>19</v>
      </c>
      <c r="F34" s="5" t="s">
        <v>91</v>
      </c>
      <c r="G34" s="23" t="str">
        <f>_xlfn.XLOOKUP(H34,'Proyectos Dueños'!$B$2:$B$18,'Proyectos Dueños'!$C$2:$C$18,"")</f>
        <v>The Coca Cola Company</v>
      </c>
      <c r="H34" s="5" t="s">
        <v>64</v>
      </c>
      <c r="I34" s="23" t="s">
        <v>65</v>
      </c>
      <c r="J34" s="23"/>
      <c r="K34" s="5" t="s">
        <v>145</v>
      </c>
      <c r="L34" s="23" t="str">
        <f>_xlfn.XLOOKUP(K34,'Proyectos Dueños'!$B$2:$B$18,'Proyectos Dueños'!$D$2:$D$18,"")</f>
        <v>Kareem Galván</v>
      </c>
      <c r="M34" s="5" t="s">
        <v>23</v>
      </c>
      <c r="N34" s="23" t="str">
        <f>_xlfn.XLOOKUP(M34,'Proyectos Dueños'!$B$2:$B$18,'Proyectos Dueños'!$D$2:$D$18,"")</f>
        <v>Kareem Galvan</v>
      </c>
      <c r="O34" s="5"/>
    </row>
    <row r="35" spans="1:67" s="8" customFormat="1" ht="15" customHeight="1">
      <c r="A35" s="4">
        <v>54</v>
      </c>
      <c r="B35" s="7" t="s">
        <v>146</v>
      </c>
      <c r="C35" s="7" t="s">
        <v>147</v>
      </c>
      <c r="D35" s="6" t="s">
        <v>148</v>
      </c>
      <c r="E35" s="5" t="s">
        <v>19</v>
      </c>
      <c r="F35" s="5" t="s">
        <v>56</v>
      </c>
      <c r="G35" s="23" t="str">
        <f>_xlfn.XLOOKUP(H35,'Proyectos Dueños'!$B$2:$B$18,'Proyectos Dueños'!$C$2:$C$18,"")</f>
        <v>The Coca Cola Company</v>
      </c>
      <c r="H35" s="5" t="s">
        <v>38</v>
      </c>
      <c r="I35" s="23" t="s">
        <v>85</v>
      </c>
      <c r="J35" s="23"/>
      <c r="K35" s="5"/>
      <c r="L35" s="23" t="str">
        <f>_xlfn.XLOOKUP(K35,'Proyectos Dueños'!$B$2:$B$18,'Proyectos Dueños'!$D$2:$D$18,"")</f>
        <v/>
      </c>
      <c r="M35" s="5"/>
      <c r="N35" s="23" t="str">
        <f>_xlfn.XLOOKUP(M35,'Proyectos Dueños'!$B$2:$B$18,'Proyectos Dueños'!$D$2:$D$18,"")</f>
        <v/>
      </c>
      <c r="O35" s="5"/>
    </row>
    <row r="36" spans="1:67" s="8" customFormat="1" ht="15" customHeight="1">
      <c r="A36" s="4">
        <v>55</v>
      </c>
      <c r="B36" s="5" t="s">
        <v>149</v>
      </c>
      <c r="C36" s="5" t="s">
        <v>150</v>
      </c>
      <c r="D36" s="6" t="s">
        <v>151</v>
      </c>
      <c r="E36" s="5" t="s">
        <v>19</v>
      </c>
      <c r="F36" s="7" t="s">
        <v>98</v>
      </c>
      <c r="G36" s="23" t="str">
        <f>_xlfn.XLOOKUP(H36,'Proyectos Dueños'!$B$2:$B$18,'Proyectos Dueños'!$C$2:$C$18,"")</f>
        <v>The Coca Cola Company</v>
      </c>
      <c r="H36" s="7" t="s">
        <v>152</v>
      </c>
      <c r="I36" s="23" t="s">
        <v>150</v>
      </c>
      <c r="J36" s="23"/>
      <c r="K36" s="7" t="s">
        <v>87</v>
      </c>
      <c r="L36" s="23" t="str">
        <f>_xlfn.XLOOKUP(K36,'Proyectos Dueños'!$B$2:$B$18,'Proyectos Dueños'!$D$2:$D$18,"")</f>
        <v>Eduardo Ayala</v>
      </c>
      <c r="M36" s="7"/>
      <c r="N36" s="23" t="str">
        <f>_xlfn.XLOOKUP(M36,'Proyectos Dueños'!$B$2:$B$18,'Proyectos Dueños'!$D$2:$D$18,"")</f>
        <v/>
      </c>
      <c r="O36" s="7"/>
    </row>
    <row r="37" spans="1:67" s="8" customFormat="1" ht="15" customHeight="1">
      <c r="A37" s="4">
        <v>56</v>
      </c>
      <c r="B37" s="7" t="s">
        <v>153</v>
      </c>
      <c r="C37" s="7" t="s">
        <v>154</v>
      </c>
      <c r="D37" s="6" t="s">
        <v>155</v>
      </c>
      <c r="E37" s="5" t="s">
        <v>19</v>
      </c>
      <c r="F37" s="5" t="s">
        <v>56</v>
      </c>
      <c r="G37" s="23" t="str">
        <f>_xlfn.XLOOKUP(H37,'Proyectos Dueños'!$B$2:$B$18,'Proyectos Dueños'!$C$2:$C$18,"")</f>
        <v>The Coca Cola Company</v>
      </c>
      <c r="H37" s="5" t="s">
        <v>64</v>
      </c>
      <c r="I37" s="23" t="s">
        <v>65</v>
      </c>
      <c r="J37" s="23"/>
      <c r="K37" s="5"/>
      <c r="L37" s="23" t="str">
        <f>_xlfn.XLOOKUP(K37,'Proyectos Dueños'!$B$2:$B$18,'Proyectos Dueños'!$D$2:$D$18,"")</f>
        <v/>
      </c>
      <c r="M37" s="5"/>
      <c r="N37" s="23" t="str">
        <f>_xlfn.XLOOKUP(M37,'Proyectos Dueños'!$B$2:$B$18,'Proyectos Dueños'!$D$2:$D$18,"")</f>
        <v/>
      </c>
      <c r="O37" s="5"/>
    </row>
    <row r="38" spans="1:67" s="8" customFormat="1" ht="15" customHeight="1">
      <c r="A38" s="4">
        <v>57</v>
      </c>
      <c r="B38" s="7" t="s">
        <v>156</v>
      </c>
      <c r="C38" s="7" t="s">
        <v>157</v>
      </c>
      <c r="D38" s="6" t="s">
        <v>158</v>
      </c>
      <c r="E38" s="5" t="s">
        <v>19</v>
      </c>
      <c r="F38" s="5" t="s">
        <v>60</v>
      </c>
      <c r="G38" s="23" t="str">
        <f>_xlfn.XLOOKUP(H38,'Proyectos Dueños'!$B$2:$B$18,'Proyectos Dueños'!$C$2:$C$18,"")</f>
        <v>The Coca Cola Company</v>
      </c>
      <c r="H38" s="5" t="s">
        <v>24</v>
      </c>
      <c r="I38" s="23" t="s">
        <v>22</v>
      </c>
      <c r="J38" s="23"/>
      <c r="K38" s="5"/>
      <c r="L38" s="23" t="str">
        <f>_xlfn.XLOOKUP(K38,'Proyectos Dueños'!$B$2:$B$18,'Proyectos Dueños'!$D$2:$D$18,"")</f>
        <v/>
      </c>
      <c r="M38" s="5"/>
      <c r="N38" s="23" t="str">
        <f>_xlfn.XLOOKUP(M38,'Proyectos Dueños'!$B$2:$B$18,'Proyectos Dueños'!$D$2:$D$18,"")</f>
        <v/>
      </c>
      <c r="O38" s="5"/>
    </row>
    <row r="39" spans="1:67" s="8" customFormat="1" ht="15" customHeight="1">
      <c r="A39" s="4">
        <v>58</v>
      </c>
      <c r="B39" s="7" t="s">
        <v>159</v>
      </c>
      <c r="C39" s="7" t="s">
        <v>160</v>
      </c>
      <c r="D39" s="6" t="s">
        <v>161</v>
      </c>
      <c r="E39" s="5" t="s">
        <v>19</v>
      </c>
      <c r="F39" s="5" t="s">
        <v>56</v>
      </c>
      <c r="G39" s="23" t="str">
        <f>_xlfn.XLOOKUP(H39,'Proyectos Dueños'!$B$2:$B$18,'Proyectos Dueños'!$C$2:$C$18,"")</f>
        <v>The Coca Cola Company</v>
      </c>
      <c r="H39" s="5" t="s">
        <v>64</v>
      </c>
      <c r="I39" s="23" t="s">
        <v>65</v>
      </c>
      <c r="J39" s="23"/>
      <c r="K39" s="5"/>
      <c r="L39" s="23" t="str">
        <f>_xlfn.XLOOKUP(K39,'Proyectos Dueños'!$B$2:$B$18,'Proyectos Dueños'!$D$2:$D$18,"")</f>
        <v/>
      </c>
      <c r="M39" s="5"/>
      <c r="N39" s="23" t="str">
        <f>_xlfn.XLOOKUP(M39,'Proyectos Dueños'!$B$2:$B$18,'Proyectos Dueños'!$D$2:$D$18,"")</f>
        <v/>
      </c>
      <c r="O39" s="5"/>
    </row>
    <row r="40" spans="1:67" s="8" customFormat="1" ht="15" customHeight="1">
      <c r="A40" s="4">
        <v>59</v>
      </c>
      <c r="B40" s="5" t="s">
        <v>162</v>
      </c>
      <c r="C40" s="5" t="s">
        <v>163</v>
      </c>
      <c r="D40" s="6" t="s">
        <v>164</v>
      </c>
      <c r="E40" s="5" t="s">
        <v>19</v>
      </c>
      <c r="F40" s="5" t="s">
        <v>165</v>
      </c>
      <c r="G40" s="23" t="str">
        <f>_xlfn.XLOOKUP(H40,'Proyectos Dueños'!$B$2:$B$18,'Proyectos Dueños'!$C$2:$C$18,"")</f>
        <v/>
      </c>
      <c r="H40" s="5"/>
      <c r="I40" s="23" t="s">
        <v>22</v>
      </c>
      <c r="J40" s="23"/>
      <c r="K40" s="5"/>
      <c r="L40" s="23"/>
      <c r="M40" s="5"/>
      <c r="N40" s="23"/>
      <c r="O40" s="5"/>
    </row>
    <row r="41" spans="1:67" s="8" customFormat="1" ht="15">
      <c r="A41" s="4">
        <v>60</v>
      </c>
      <c r="B41" s="5" t="s">
        <v>166</v>
      </c>
      <c r="C41" s="5" t="s">
        <v>167</v>
      </c>
      <c r="D41" s="6" t="s">
        <v>168</v>
      </c>
      <c r="E41" s="5" t="s">
        <v>19</v>
      </c>
      <c r="F41" s="5" t="s">
        <v>91</v>
      </c>
      <c r="G41" s="23" t="str">
        <f>_xlfn.XLOOKUP(H41,'Proyectos Dueños'!$B$2:$B$18,'Proyectos Dueños'!$C$2:$C$18,"")</f>
        <v>The Coca Cola Company</v>
      </c>
      <c r="H41" s="5" t="s">
        <v>31</v>
      </c>
      <c r="I41" s="23" t="s">
        <v>43</v>
      </c>
      <c r="J41" s="23"/>
      <c r="K41" s="5"/>
      <c r="L41" s="23" t="str">
        <f>_xlfn.XLOOKUP(K41,'Proyectos Dueños'!$B$2:$B$18,'Proyectos Dueños'!$D$2:$D$18,"")</f>
        <v/>
      </c>
      <c r="M41" s="5"/>
      <c r="N41" s="23" t="str">
        <f>_xlfn.XLOOKUP(M41,'Proyectos Dueños'!$B$2:$B$18,'Proyectos Dueños'!$D$2:$D$18,"")</f>
        <v/>
      </c>
      <c r="O41" s="5"/>
    </row>
    <row r="42" spans="1:67" s="10" customFormat="1" ht="15" customHeight="1">
      <c r="A42" s="4">
        <v>61</v>
      </c>
      <c r="B42" s="5" t="s">
        <v>169</v>
      </c>
      <c r="C42" s="5" t="s">
        <v>170</v>
      </c>
      <c r="D42" s="6" t="s">
        <v>171</v>
      </c>
      <c r="E42" s="5" t="s">
        <v>19</v>
      </c>
      <c r="F42" s="5" t="s">
        <v>165</v>
      </c>
      <c r="G42" s="23" t="str">
        <f>_xlfn.XLOOKUP(H42,'Proyectos Dueños'!$B$2:$B$18,'Proyectos Dueños'!$C$2:$C$18,"")</f>
        <v/>
      </c>
      <c r="H42" s="5"/>
      <c r="I42" s="23" t="s">
        <v>22</v>
      </c>
      <c r="J42" s="23"/>
      <c r="K42" s="5"/>
      <c r="L42" s="23"/>
      <c r="M42" s="5"/>
      <c r="N42" s="23"/>
      <c r="O42" s="5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</row>
    <row r="43" spans="1:67" s="8" customFormat="1" ht="15" customHeight="1">
      <c r="A43" s="4">
        <v>64</v>
      </c>
      <c r="B43" s="5" t="s">
        <v>172</v>
      </c>
      <c r="C43" s="5" t="s">
        <v>173</v>
      </c>
      <c r="D43" s="6" t="s">
        <v>174</v>
      </c>
      <c r="E43" s="5" t="s">
        <v>19</v>
      </c>
      <c r="F43" s="5" t="s">
        <v>56</v>
      </c>
      <c r="G43" s="23" t="str">
        <f>_xlfn.XLOOKUP(H43,'Proyectos Dueños'!$B$2:$B$18,'Proyectos Dueños'!$C$2:$C$18,"")</f>
        <v>The Coca Cola Company</v>
      </c>
      <c r="H43" s="5" t="s">
        <v>52</v>
      </c>
      <c r="I43" s="23" t="s">
        <v>30</v>
      </c>
      <c r="J43" s="23"/>
      <c r="K43" s="5"/>
      <c r="L43" s="23" t="str">
        <f>_xlfn.XLOOKUP(K43,'Proyectos Dueños'!$B$2:$B$18,'Proyectos Dueños'!$D$2:$D$18,"")</f>
        <v/>
      </c>
      <c r="M43" s="5"/>
      <c r="N43" s="23" t="str">
        <f>_xlfn.XLOOKUP(M43,'Proyectos Dueños'!$B$2:$B$18,'Proyectos Dueños'!$D$2:$D$18,"")</f>
        <v/>
      </c>
      <c r="O43" s="5"/>
    </row>
    <row r="44" spans="1:67" s="8" customFormat="1" ht="15" customHeight="1">
      <c r="A44" s="4">
        <v>65</v>
      </c>
      <c r="B44" s="7" t="s">
        <v>175</v>
      </c>
      <c r="C44" s="7" t="s">
        <v>176</v>
      </c>
      <c r="D44" s="6" t="s">
        <v>177</v>
      </c>
      <c r="E44" s="5" t="s">
        <v>19</v>
      </c>
      <c r="F44" s="5" t="s">
        <v>51</v>
      </c>
      <c r="G44" s="23" t="str">
        <f>_xlfn.XLOOKUP(H44,'Proyectos Dueños'!$B$2:$B$18,'Proyectos Dueños'!$C$2:$C$18,"")</f>
        <v>Urrea</v>
      </c>
      <c r="H44" s="5" t="s">
        <v>178</v>
      </c>
      <c r="I44" s="23" t="s">
        <v>179</v>
      </c>
      <c r="J44" s="23"/>
      <c r="K44" s="5"/>
      <c r="L44" s="23" t="str">
        <f>_xlfn.XLOOKUP(K44,'Proyectos Dueños'!$B$2:$B$18,'Proyectos Dueños'!$D$2:$D$18,"")</f>
        <v/>
      </c>
      <c r="M44" s="5"/>
      <c r="N44" s="23" t="str">
        <f>_xlfn.XLOOKUP(M44,'Proyectos Dueños'!$B$2:$B$18,'Proyectos Dueños'!$D$2:$D$18,"")</f>
        <v/>
      </c>
      <c r="O44" s="5"/>
    </row>
    <row r="45" spans="1:67" ht="15" customHeight="1">
      <c r="A45" s="4">
        <v>67</v>
      </c>
      <c r="B45" s="5" t="s">
        <v>180</v>
      </c>
      <c r="C45" s="5" t="s">
        <v>181</v>
      </c>
      <c r="D45" s="6" t="s">
        <v>182</v>
      </c>
      <c r="E45" s="5" t="s">
        <v>19</v>
      </c>
      <c r="F45" s="5" t="s">
        <v>51</v>
      </c>
      <c r="G45" s="23" t="str">
        <f>_xlfn.XLOOKUP(H45,'Proyectos Dueños'!$B$2:$B$18,'Proyectos Dueños'!$C$2:$C$18,"")</f>
        <v>The Coca Cola Company</v>
      </c>
      <c r="H45" s="5" t="s">
        <v>23</v>
      </c>
      <c r="I45" s="23" t="s">
        <v>65</v>
      </c>
      <c r="J45" s="23"/>
      <c r="K45" s="5" t="s">
        <v>52</v>
      </c>
      <c r="L45" s="23" t="str">
        <f>_xlfn.XLOOKUP(K45,'Proyectos Dueños'!$B$2:$B$18,'Proyectos Dueños'!$D$2:$D$18,"")</f>
        <v>José Antonio Pedraza Rangel</v>
      </c>
      <c r="M45" s="5"/>
      <c r="N45" s="23" t="str">
        <f>_xlfn.XLOOKUP(M45,'Proyectos Dueños'!$B$2:$B$18,'Proyectos Dueños'!$D$2:$D$18,"")</f>
        <v/>
      </c>
      <c r="O45" s="5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</row>
    <row r="46" spans="1:67" ht="15" customHeight="1">
      <c r="A46" s="4">
        <v>68</v>
      </c>
      <c r="B46" s="5" t="s">
        <v>183</v>
      </c>
      <c r="C46" s="5" t="s">
        <v>184</v>
      </c>
      <c r="D46" s="6" t="s">
        <v>185</v>
      </c>
      <c r="E46" s="5" t="s">
        <v>19</v>
      </c>
      <c r="F46" s="5" t="s">
        <v>56</v>
      </c>
      <c r="G46" s="23" t="str">
        <f>_xlfn.XLOOKUP(H46,'Proyectos Dueños'!$B$2:$B$18,'Proyectos Dueños'!$C$2:$C$18,"")</f>
        <v>The Coca Cola Company</v>
      </c>
      <c r="H46" s="5" t="s">
        <v>52</v>
      </c>
      <c r="I46" s="23" t="s">
        <v>30</v>
      </c>
      <c r="J46" s="23"/>
      <c r="K46" s="5"/>
      <c r="L46" s="23" t="str">
        <f>_xlfn.XLOOKUP(K46,'Proyectos Dueños'!$B$2:$B$18,'Proyectos Dueños'!$D$2:$D$18,"")</f>
        <v/>
      </c>
      <c r="M46" s="5"/>
      <c r="N46" s="23" t="str">
        <f>_xlfn.XLOOKUP(M46,'Proyectos Dueños'!$B$2:$B$18,'Proyectos Dueños'!$D$2:$D$18,"")</f>
        <v/>
      </c>
      <c r="O46" s="5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</row>
    <row r="47" spans="1:67" ht="15">
      <c r="A47" s="4">
        <v>69</v>
      </c>
      <c r="B47" s="7" t="s">
        <v>186</v>
      </c>
      <c r="C47" s="7" t="s">
        <v>187</v>
      </c>
      <c r="D47" s="6" t="s">
        <v>188</v>
      </c>
      <c r="E47" s="5" t="s">
        <v>19</v>
      </c>
      <c r="F47" s="5" t="s">
        <v>56</v>
      </c>
      <c r="G47" s="23" t="str">
        <f>_xlfn.XLOOKUP(H47,'Proyectos Dueños'!$B$2:$B$18,'Proyectos Dueños'!$C$2:$C$18,"")</f>
        <v>The Coca Cola Company</v>
      </c>
      <c r="H47" s="5" t="s">
        <v>52</v>
      </c>
      <c r="I47" s="23" t="s">
        <v>30</v>
      </c>
      <c r="J47" s="23"/>
      <c r="K47" s="5"/>
      <c r="L47" s="23" t="str">
        <f>_xlfn.XLOOKUP(K47,'Proyectos Dueños'!$B$2:$B$18,'Proyectos Dueños'!$D$2:$D$18,"")</f>
        <v/>
      </c>
      <c r="M47" s="5"/>
      <c r="N47" s="23" t="str">
        <f>_xlfn.XLOOKUP(M47,'Proyectos Dueños'!$B$2:$B$18,'Proyectos Dueños'!$D$2:$D$18,"")</f>
        <v/>
      </c>
      <c r="O47" s="5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10"/>
      <c r="BK47" s="10"/>
      <c r="BL47" s="10"/>
      <c r="BM47" s="10"/>
      <c r="BN47" s="10"/>
      <c r="BO47" s="10"/>
    </row>
    <row r="48" spans="1:67" s="8" customFormat="1" ht="15" customHeight="1">
      <c r="A48" s="4">
        <v>71</v>
      </c>
      <c r="B48" s="5" t="s">
        <v>189</v>
      </c>
      <c r="C48" s="5" t="s">
        <v>190</v>
      </c>
      <c r="D48" s="6" t="s">
        <v>191</v>
      </c>
      <c r="E48" s="5" t="s">
        <v>19</v>
      </c>
      <c r="F48" s="5" t="s">
        <v>60</v>
      </c>
      <c r="G48" s="23" t="str">
        <f>_xlfn.XLOOKUP(H48,'Proyectos Dueños'!$B$2:$B$18,'Proyectos Dueños'!$C$2:$C$18,"")</f>
        <v>The Coca Cola Company</v>
      </c>
      <c r="H48" s="5" t="s">
        <v>31</v>
      </c>
      <c r="I48" s="23" t="s">
        <v>192</v>
      </c>
      <c r="J48" s="23"/>
      <c r="K48" s="5"/>
      <c r="L48" s="23" t="str">
        <f>_xlfn.XLOOKUP(K48,'Proyectos Dueños'!$B$2:$B$18,'Proyectos Dueños'!$D$2:$D$18,"")</f>
        <v/>
      </c>
      <c r="M48" s="5"/>
      <c r="N48" s="23" t="str">
        <f>_xlfn.XLOOKUP(M48,'Proyectos Dueños'!$B$2:$B$18,'Proyectos Dueños'!$D$2:$D$18,"")</f>
        <v/>
      </c>
      <c r="O48" s="5"/>
    </row>
    <row r="49" spans="1:67" s="8" customFormat="1" ht="15">
      <c r="A49" s="4">
        <v>74</v>
      </c>
      <c r="B49" s="5" t="s">
        <v>193</v>
      </c>
      <c r="C49" s="5" t="s">
        <v>194</v>
      </c>
      <c r="D49" s="6" t="s">
        <v>195</v>
      </c>
      <c r="E49" s="5" t="s">
        <v>19</v>
      </c>
      <c r="F49" s="5" t="s">
        <v>196</v>
      </c>
      <c r="G49" s="23" t="str">
        <f>_xlfn.XLOOKUP(H49,'Proyectos Dueños'!$B$2:$B$18,'Proyectos Dueños'!$C$2:$C$18,"")</f>
        <v/>
      </c>
      <c r="H49" s="5"/>
      <c r="I49" s="23" t="s">
        <v>22</v>
      </c>
      <c r="J49" s="23"/>
      <c r="K49" s="5"/>
      <c r="L49" s="23"/>
      <c r="M49" s="5"/>
      <c r="N49" s="23"/>
      <c r="O49" s="5"/>
    </row>
    <row r="50" spans="1:67" s="3" customFormat="1" ht="15">
      <c r="A50" s="4">
        <v>75</v>
      </c>
      <c r="B50" s="5" t="s">
        <v>197</v>
      </c>
      <c r="C50" s="12" t="s">
        <v>198</v>
      </c>
      <c r="D50" s="13" t="s">
        <v>199</v>
      </c>
      <c r="E50" s="5" t="s">
        <v>19</v>
      </c>
      <c r="F50" s="5" t="s">
        <v>20</v>
      </c>
      <c r="G50" s="23" t="str">
        <f>_xlfn.XLOOKUP(H50,'Proyectos Dueños'!$B$2:$B$18,'Proyectos Dueños'!$C$2:$C$18,"")</f>
        <v>The Coca Cola Company</v>
      </c>
      <c r="H50" s="5" t="s">
        <v>152</v>
      </c>
      <c r="I50" s="23" t="s">
        <v>22</v>
      </c>
      <c r="J50" s="23"/>
      <c r="K50" s="5" t="s">
        <v>200</v>
      </c>
      <c r="L50" s="23" t="str">
        <f>_xlfn.XLOOKUP(K50,'Proyectos Dueños'!$B$2:$B$18,'Proyectos Dueños'!$D$2:$D$18,"")</f>
        <v>Carlos Alejandro Rodríguez Ochoa</v>
      </c>
      <c r="M50" s="5" t="s">
        <v>64</v>
      </c>
      <c r="N50" s="23" t="str">
        <f>_xlfn.XLOOKUP(M50,'Proyectos Dueños'!$B$2:$B$18,'Proyectos Dueños'!$D$2:$D$18,"")</f>
        <v>Kareem Galván Delgadillo</v>
      </c>
      <c r="O50" s="5" t="s">
        <v>36</v>
      </c>
      <c r="P50" s="23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</row>
    <row r="51" spans="1:67" s="3" customFormat="1" ht="15">
      <c r="A51" s="4">
        <v>76</v>
      </c>
      <c r="B51" s="5" t="s">
        <v>201</v>
      </c>
      <c r="C51" s="12" t="s">
        <v>202</v>
      </c>
      <c r="D51" s="13" t="s">
        <v>203</v>
      </c>
      <c r="E51" s="5" t="s">
        <v>19</v>
      </c>
      <c r="F51" s="5" t="s">
        <v>51</v>
      </c>
      <c r="G51" s="23" t="str">
        <f>_xlfn.XLOOKUP(H51,'Proyectos Dueños'!$B$2:$B$18,'Proyectos Dueños'!$C$2:$C$18,"")</f>
        <v>The Coca Cola Company</v>
      </c>
      <c r="H51" s="5" t="s">
        <v>145</v>
      </c>
      <c r="I51" s="23" t="s">
        <v>65</v>
      </c>
      <c r="J51" s="23"/>
      <c r="K51" s="5" t="s">
        <v>23</v>
      </c>
      <c r="L51" s="23" t="str">
        <f>_xlfn.XLOOKUP(K51,'Proyectos Dueños'!$B$2:$B$18,'Proyectos Dueños'!$D$2:$D$18,"")</f>
        <v>Kareem Galvan</v>
      </c>
      <c r="M51" s="5" t="s">
        <v>25</v>
      </c>
      <c r="N51" s="23" t="str">
        <f>_xlfn.XLOOKUP(M51,'Proyectos Dueños'!$B$2:$B$18,'Proyectos Dueños'!$D$2:$D$18,"")</f>
        <v>Marco Aristeo García</v>
      </c>
      <c r="O51" s="5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</row>
    <row r="52" spans="1:67" s="3" customFormat="1" ht="15">
      <c r="A52" s="4">
        <v>77</v>
      </c>
      <c r="B52" s="5" t="s">
        <v>204</v>
      </c>
      <c r="C52" s="12" t="s">
        <v>205</v>
      </c>
      <c r="D52" s="13" t="s">
        <v>206</v>
      </c>
      <c r="E52" s="5" t="s">
        <v>19</v>
      </c>
      <c r="F52" s="5" t="s">
        <v>35</v>
      </c>
      <c r="G52" s="23" t="str">
        <f>_xlfn.XLOOKUP(H52,'Proyectos Dueños'!$B$2:$B$18,'Proyectos Dueños'!$C$2:$C$18,"")</f>
        <v>The Coca Cola Company</v>
      </c>
      <c r="H52" s="5" t="s">
        <v>36</v>
      </c>
      <c r="I52" s="23" t="s">
        <v>37</v>
      </c>
      <c r="J52" s="23"/>
      <c r="K52" s="5"/>
      <c r="L52" s="23" t="str">
        <f>_xlfn.XLOOKUP(K52,'Proyectos Dueños'!$B$2:$B$18,'Proyectos Dueños'!$D$2:$D$18,"")</f>
        <v/>
      </c>
      <c r="M52" s="5"/>
      <c r="N52" s="23" t="str">
        <f>_xlfn.XLOOKUP(M52,'Proyectos Dueños'!$B$2:$B$18,'Proyectos Dueños'!$D$2:$D$18,"")</f>
        <v/>
      </c>
      <c r="O52" s="5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</row>
    <row r="53" spans="1:67" s="3" customFormat="1" ht="15">
      <c r="A53" s="4">
        <v>78</v>
      </c>
      <c r="B53" s="5" t="s">
        <v>207</v>
      </c>
      <c r="C53" s="12" t="s">
        <v>208</v>
      </c>
      <c r="D53" s="13" t="s">
        <v>209</v>
      </c>
      <c r="E53" s="5" t="s">
        <v>19</v>
      </c>
      <c r="F53" s="5" t="s">
        <v>91</v>
      </c>
      <c r="G53" s="23" t="str">
        <f>_xlfn.XLOOKUP(H53,'Proyectos Dueños'!$B$2:$B$18,'Proyectos Dueños'!$C$2:$C$18,"")</f>
        <v>Coppel</v>
      </c>
      <c r="H53" s="5" t="s">
        <v>73</v>
      </c>
      <c r="I53" s="23" t="s">
        <v>74</v>
      </c>
      <c r="J53" s="23"/>
      <c r="K53" s="5"/>
      <c r="L53" s="23" t="str">
        <f>_xlfn.XLOOKUP(K53,'Proyectos Dueños'!$B$2:$B$18,'Proyectos Dueños'!$D$2:$D$18,"")</f>
        <v/>
      </c>
      <c r="M53" s="5"/>
      <c r="N53" s="23" t="str">
        <f>_xlfn.XLOOKUP(M53,'Proyectos Dueños'!$B$2:$B$18,'Proyectos Dueños'!$D$2:$D$18,"")</f>
        <v/>
      </c>
      <c r="O53" s="5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</row>
    <row r="54" spans="1:67" ht="15" customHeight="1">
      <c r="A54" s="15"/>
      <c r="B54" s="18"/>
      <c r="C54" s="18"/>
      <c r="D54" s="16"/>
      <c r="E54" s="15" t="s">
        <v>19</v>
      </c>
      <c r="F54" s="17">
        <f>COUNTIF(E$2:E$53,E54)</f>
        <v>52</v>
      </c>
      <c r="G54" s="23" t="str">
        <f>_xlfn.XLOOKUP(H54,'Proyectos Dueños'!$B$2:$B$18,'Proyectos Dueños'!$C$2:$C$18,"")</f>
        <v/>
      </c>
      <c r="H54" s="17"/>
      <c r="I54" s="17"/>
      <c r="J54" s="17"/>
      <c r="K54" s="17"/>
      <c r="L54" s="17"/>
      <c r="M54" s="17"/>
      <c r="N54" s="17"/>
      <c r="O54" s="17"/>
    </row>
  </sheetData>
  <autoFilter ref="A1:BM54" xr:uid="{4203DE66-63DE-41C9-9C0B-59671A6A2914}"/>
  <phoneticPr fontId="11" type="noConversion"/>
  <conditionalFormatting sqref="D31">
    <cfRule type="duplicateValues" dxfId="0" priority="6" stopIfTrue="1"/>
  </conditionalFormatting>
  <hyperlinks>
    <hyperlink ref="D5" r:id="rId1" xr:uid="{9FCE103E-2E7F-41BC-86D0-B30BF39E9AAD}"/>
    <hyperlink ref="D3" r:id="rId2" xr:uid="{C48C1711-D863-4CAA-9930-EADD23484804}"/>
    <hyperlink ref="D6" r:id="rId3" xr:uid="{304B9DA3-C199-45E4-B61F-7E887BDA4AC2}"/>
    <hyperlink ref="D4" r:id="rId4" xr:uid="{18B496F8-2F19-4FF9-8197-B2AE27D88D0D}"/>
    <hyperlink ref="D7" r:id="rId5" xr:uid="{33F75853-DA95-4342-9D88-0734F18A7A8E}"/>
    <hyperlink ref="D27" r:id="rId6" xr:uid="{93A6A4BF-FC64-4335-9E9D-D4D90554B98C}"/>
    <hyperlink ref="D34" r:id="rId7" xr:uid="{6492BB14-6D00-4BAA-90BB-D59E8CEC747F}"/>
    <hyperlink ref="D20" r:id="rId8" display="mailto:erick.lopez@arena-analytics.com" xr:uid="{B4FCB9EC-E0A5-44BE-8933-1E2064C477BC}"/>
    <hyperlink ref="D53" r:id="rId9" display="mailto:sebastian.jimenez@arena-analytics.com" xr:uid="{B9F45AA1-8E61-464F-ACD4-BEB848AEFFA6}"/>
    <hyperlink ref="D46" r:id="rId10" xr:uid="{C99D1824-50E1-42D5-BEFD-10994D329FBA}"/>
    <hyperlink ref="D13" r:id="rId11" xr:uid="{87B5ED1F-99B2-4314-BB6D-C454E452DA62}"/>
    <hyperlink ref="D45" r:id="rId12" display="mailto:mburkle@arena-analytics.com" xr:uid="{9ECABC35-9425-47AE-999A-CE957C3D504A}"/>
    <hyperlink ref="D30" r:id="rId13" display="mailto:jrobles@arena-analytics.com" xr:uid="{32EAAC81-AE3C-457C-AF6F-F5C36B27CBD7}"/>
    <hyperlink ref="D40" r:id="rId14" display="mailto:luis@arena-analytics.com" xr:uid="{35D9485A-E4FA-4140-AA39-2694E7BBDCA6}"/>
    <hyperlink ref="D49" r:id="rId15" display="mailto:rodolfo@arena-analytics.com" xr:uid="{3279F613-2459-49F2-A2F1-BA78B450BC54}"/>
    <hyperlink ref="D36" r:id="rId16" display="mailto:lorenzo@arena-analytics.com" xr:uid="{A110BA66-CAD4-43AB-BEEA-1C3A0D0478E1}"/>
    <hyperlink ref="D23" r:id="rId17" xr:uid="{460C8BD0-E6B2-4C83-B225-D425142FD434}"/>
    <hyperlink ref="D14" r:id="rId18" xr:uid="{2A782997-3A3A-4EF5-9562-6ADB7FDD7CB4}"/>
    <hyperlink ref="D48" r:id="rId19" display="mailto:omancha@arena-analytics.com" xr:uid="{52168480-87E9-4317-B8FC-AAB6E509BF50}"/>
    <hyperlink ref="D44" r:id="rId20" display="mailto:mariana.contreras@arena-analytics.com" xr:uid="{9ECA1C90-5410-4323-A32A-3F0A89080327}"/>
    <hyperlink ref="D51" r:id="rId21" display="mailto:alejandro.ruiz@arena-analytics.com" xr:uid="{01D89F03-8B37-4A5F-BA78-24DBED8A188B}"/>
    <hyperlink ref="D42" r:id="rId22" display="mailto:marco.aristeo@arena-analytics.com" xr:uid="{46B885D0-03B6-4627-A12E-ED63F8AF535A}"/>
    <hyperlink ref="D43" r:id="rId23" xr:uid="{E1243D8D-B3BE-4F16-903D-AF32AF556AEB}"/>
    <hyperlink ref="D31" r:id="rId24" xr:uid="{88DA876E-148A-4215-B516-E09D225C17DA}"/>
    <hyperlink ref="D28" r:id="rId25" xr:uid="{8481136D-931D-4F24-9D5F-BDAFDBFADBD6}"/>
    <hyperlink ref="D11" r:id="rId26" xr:uid="{A0A47416-DC40-4C5E-BF74-46FCE5828C7F}"/>
    <hyperlink ref="D15" r:id="rId27" xr:uid="{ACEBEA6B-6942-499D-A055-181188679FB3}"/>
    <hyperlink ref="D32" r:id="rId28" display="mailto:juan.velazquez@arena-analytics.com" xr:uid="{69F58AC3-048C-4F39-89B6-80604CA01FAA}"/>
    <hyperlink ref="D47" r:id="rId29" xr:uid="{A0D7A93D-B1DF-4E20-9A66-8B32AF3F38B1}"/>
    <hyperlink ref="D21" r:id="rId30" display="mailto:flagos@arena-analytics.com" xr:uid="{A33977A2-3E74-44FC-AACA-CC4D1C2A6B20}"/>
    <hyperlink ref="D33" r:id="rId31" display="mailto:juan.montoya@arena-analytics.com" xr:uid="{F40DB2A5-8118-4D22-9DCB-828AFB175A55}"/>
    <hyperlink ref="D10" r:id="rId32" xr:uid="{BD07A8EF-9BB8-42C0-92EC-687A5A1FAB4C}"/>
    <hyperlink ref="D22" r:id="rId33" xr:uid="{9FC82259-00F2-45C9-B9E0-7838FDC4BF00}"/>
    <hyperlink ref="D35" r:id="rId34" xr:uid="{B2C91387-7A82-462D-9165-1F562089154D}"/>
    <hyperlink ref="D39" r:id="rId35" xr:uid="{5532DCAF-E01B-406D-91E8-836A8101A79F}"/>
    <hyperlink ref="D17" r:id="rId36" xr:uid="{19FEDEAE-C543-44D4-BF3B-7FB5C9E3C48E}"/>
    <hyperlink ref="D12" r:id="rId37" xr:uid="{19F32726-C555-4DAD-8C8B-2533469D2C5B}"/>
    <hyperlink ref="D18" r:id="rId38" display="mailto:elias.garcia@arena-analytics.com" xr:uid="{E534810B-3E48-4E39-B99B-4C16EBC07AD5}"/>
    <hyperlink ref="D26" r:id="rId39" xr:uid="{4C23736A-9D42-4440-8A33-E0C0962AFCDE}"/>
    <hyperlink ref="D8" r:id="rId40" display="mailto:andrea.plascencia@arena-analytics.com" xr:uid="{4B0B2D40-6A92-4DAD-9881-05BE4977E6E2}"/>
    <hyperlink ref="D37" r:id="rId41" display="mailto:lourdes.martinez@arena-analytics.com" xr:uid="{7DEDAECF-5975-4B01-A4E5-DFFAB7896841}"/>
    <hyperlink ref="D38" r:id="rId42" xr:uid="{955C22B8-D81E-4071-9294-A50A2AC1F6E7}"/>
    <hyperlink ref="D9" r:id="rId43" display="mailto:jose.pedraza@arena-analytics.com" xr:uid="{30B6EEF2-10DE-4F4B-B892-223EADDA8D7E}"/>
  </hyperlinks>
  <pageMargins left="0.7" right="0.7" top="0.75" bottom="0.75" header="0.3" footer="0.3"/>
  <pageSetup orientation="portrait" horizontalDpi="360" verticalDpi="360" r:id="rId4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5AC80-2748-4A63-A251-3868B235311C}">
  <dimension ref="A1:D114"/>
  <sheetViews>
    <sheetView zoomScale="96" zoomScaleNormal="130" workbookViewId="0">
      <selection activeCell="A13" sqref="A13"/>
    </sheetView>
  </sheetViews>
  <sheetFormatPr defaultRowHeight="14.45"/>
  <cols>
    <col min="1" max="1" width="30" bestFit="1" customWidth="1"/>
    <col min="2" max="2" width="42" bestFit="1" customWidth="1"/>
    <col min="3" max="3" width="10.7109375" bestFit="1" customWidth="1"/>
    <col min="4" max="4" width="12.5703125" bestFit="1" customWidth="1"/>
  </cols>
  <sheetData>
    <row r="1" spans="1:4" s="21" customFormat="1">
      <c r="A1" s="21" t="s">
        <v>210</v>
      </c>
      <c r="B1" s="21" t="s">
        <v>211</v>
      </c>
      <c r="C1" s="21" t="s">
        <v>212</v>
      </c>
      <c r="D1" s="21" t="s">
        <v>213</v>
      </c>
    </row>
    <row r="2" spans="1:4">
      <c r="A2" t="s">
        <v>17</v>
      </c>
      <c r="B2" t="s">
        <v>21</v>
      </c>
      <c r="C2" s="20">
        <v>46125</v>
      </c>
      <c r="D2" s="20">
        <v>46402</v>
      </c>
    </row>
    <row r="3" spans="1:4">
      <c r="A3" t="s">
        <v>17</v>
      </c>
      <c r="B3" t="s">
        <v>23</v>
      </c>
      <c r="C3" s="20">
        <v>46104</v>
      </c>
      <c r="D3" s="20">
        <v>46199</v>
      </c>
    </row>
    <row r="4" spans="1:4">
      <c r="A4" t="s">
        <v>17</v>
      </c>
      <c r="B4" t="s">
        <v>24</v>
      </c>
      <c r="C4" s="20">
        <v>45727</v>
      </c>
      <c r="D4" s="20">
        <v>46387</v>
      </c>
    </row>
    <row r="5" spans="1:4">
      <c r="A5" t="s">
        <v>17</v>
      </c>
      <c r="B5" t="s">
        <v>25</v>
      </c>
      <c r="C5" s="20">
        <v>45978</v>
      </c>
      <c r="D5" s="20">
        <v>46122</v>
      </c>
    </row>
    <row r="6" spans="1:4">
      <c r="A6" t="s">
        <v>17</v>
      </c>
      <c r="B6" t="s">
        <v>214</v>
      </c>
      <c r="C6" s="20">
        <v>46055</v>
      </c>
      <c r="D6" s="20">
        <v>46416</v>
      </c>
    </row>
    <row r="7" spans="1:4">
      <c r="A7" t="s">
        <v>17</v>
      </c>
      <c r="B7" t="s">
        <v>38</v>
      </c>
      <c r="C7" s="20">
        <v>46042</v>
      </c>
      <c r="D7" s="20">
        <v>46178</v>
      </c>
    </row>
    <row r="8" spans="1:4">
      <c r="A8" t="s">
        <v>27</v>
      </c>
      <c r="B8" t="s">
        <v>29</v>
      </c>
      <c r="C8" s="20">
        <v>46058</v>
      </c>
      <c r="D8" s="20">
        <v>46122</v>
      </c>
    </row>
    <row r="9" spans="1:4">
      <c r="A9" t="s">
        <v>27</v>
      </c>
      <c r="B9" t="s">
        <v>215</v>
      </c>
      <c r="C9" s="20">
        <v>46090</v>
      </c>
      <c r="D9" s="20">
        <v>46108</v>
      </c>
    </row>
    <row r="10" spans="1:4">
      <c r="A10" t="s">
        <v>27</v>
      </c>
      <c r="B10" t="s">
        <v>24</v>
      </c>
      <c r="C10" s="20">
        <v>46034</v>
      </c>
      <c r="D10" s="20">
        <v>46373</v>
      </c>
    </row>
    <row r="11" spans="1:4">
      <c r="A11" t="s">
        <v>27</v>
      </c>
      <c r="B11" t="s">
        <v>31</v>
      </c>
      <c r="C11" s="20">
        <v>46118</v>
      </c>
      <c r="D11" s="20">
        <v>46387</v>
      </c>
    </row>
    <row r="12" spans="1:4">
      <c r="A12" t="s">
        <v>33</v>
      </c>
      <c r="B12" t="s">
        <v>36</v>
      </c>
      <c r="C12" s="20">
        <v>46098</v>
      </c>
      <c r="D12" s="20">
        <v>46203</v>
      </c>
    </row>
    <row r="13" spans="1:4">
      <c r="A13" t="s">
        <v>33</v>
      </c>
      <c r="B13" t="s">
        <v>38</v>
      </c>
      <c r="C13" s="20">
        <v>46042</v>
      </c>
      <c r="D13" s="20">
        <v>46094</v>
      </c>
    </row>
    <row r="14" spans="1:4">
      <c r="A14" t="s">
        <v>40</v>
      </c>
      <c r="B14" t="s">
        <v>31</v>
      </c>
      <c r="C14" s="20">
        <v>46023</v>
      </c>
      <c r="D14" s="20">
        <v>46387</v>
      </c>
    </row>
    <row r="15" spans="1:4">
      <c r="A15" t="s">
        <v>45</v>
      </c>
      <c r="B15" t="s">
        <v>24</v>
      </c>
      <c r="C15" s="20">
        <v>46034</v>
      </c>
      <c r="D15" s="20">
        <v>46129</v>
      </c>
    </row>
    <row r="16" spans="1:4">
      <c r="A16" t="s">
        <v>45</v>
      </c>
      <c r="B16" t="s">
        <v>31</v>
      </c>
      <c r="C16" s="20">
        <v>46132</v>
      </c>
      <c r="D16" s="20">
        <v>46171</v>
      </c>
    </row>
    <row r="17" spans="1:4">
      <c r="A17" t="s">
        <v>216</v>
      </c>
      <c r="B17" t="s">
        <v>52</v>
      </c>
      <c r="C17" s="20">
        <v>46023</v>
      </c>
      <c r="D17" s="20">
        <v>46295</v>
      </c>
    </row>
    <row r="18" spans="1:4">
      <c r="A18" t="s">
        <v>54</v>
      </c>
      <c r="B18" t="s">
        <v>36</v>
      </c>
      <c r="C18" s="20">
        <v>46069</v>
      </c>
      <c r="D18" s="20">
        <v>46203</v>
      </c>
    </row>
    <row r="19" spans="1:4">
      <c r="A19" t="s">
        <v>217</v>
      </c>
      <c r="B19" t="s">
        <v>52</v>
      </c>
      <c r="C19" s="20">
        <v>46023</v>
      </c>
      <c r="D19" s="20">
        <v>46295</v>
      </c>
    </row>
    <row r="20" spans="1:4">
      <c r="A20" t="s">
        <v>218</v>
      </c>
      <c r="B20" t="s">
        <v>73</v>
      </c>
      <c r="C20" s="20">
        <v>46035</v>
      </c>
      <c r="D20" s="20">
        <v>46129</v>
      </c>
    </row>
    <row r="21" spans="1:4">
      <c r="A21" t="s">
        <v>219</v>
      </c>
      <c r="B21" t="s">
        <v>64</v>
      </c>
      <c r="C21" s="20">
        <v>45811</v>
      </c>
      <c r="D21" s="20">
        <v>46783</v>
      </c>
    </row>
    <row r="22" spans="1:4">
      <c r="A22" t="s">
        <v>67</v>
      </c>
      <c r="B22" t="s">
        <v>24</v>
      </c>
      <c r="C22" s="20">
        <v>46034</v>
      </c>
      <c r="D22" s="20">
        <v>46373</v>
      </c>
    </row>
    <row r="23" spans="1:4">
      <c r="A23" t="s">
        <v>70</v>
      </c>
      <c r="B23" t="s">
        <v>73</v>
      </c>
      <c r="C23" s="20">
        <v>45670</v>
      </c>
      <c r="D23" s="20">
        <v>46297</v>
      </c>
    </row>
    <row r="24" spans="1:4">
      <c r="A24" t="s">
        <v>76</v>
      </c>
      <c r="B24" t="s">
        <v>36</v>
      </c>
      <c r="C24" s="20">
        <v>46083</v>
      </c>
      <c r="D24" s="20">
        <v>46203</v>
      </c>
    </row>
    <row r="25" spans="1:4">
      <c r="A25" t="s">
        <v>79</v>
      </c>
      <c r="B25" t="s">
        <v>31</v>
      </c>
      <c r="C25" s="20">
        <v>46023</v>
      </c>
      <c r="D25" s="20">
        <v>46387</v>
      </c>
    </row>
    <row r="26" spans="1:4">
      <c r="A26" t="s">
        <v>82</v>
      </c>
      <c r="B26" t="s">
        <v>31</v>
      </c>
      <c r="C26" s="20">
        <v>46023</v>
      </c>
      <c r="D26" s="20">
        <v>46387</v>
      </c>
    </row>
    <row r="27" spans="1:4">
      <c r="A27" t="s">
        <v>85</v>
      </c>
      <c r="B27" t="s">
        <v>87</v>
      </c>
      <c r="C27" s="20">
        <v>45887</v>
      </c>
      <c r="D27" s="20">
        <v>46129</v>
      </c>
    </row>
    <row r="28" spans="1:4">
      <c r="A28" t="s">
        <v>85</v>
      </c>
      <c r="B28" t="s">
        <v>38</v>
      </c>
      <c r="C28" s="20">
        <v>46042</v>
      </c>
      <c r="D28" s="20">
        <v>46178</v>
      </c>
    </row>
    <row r="29" spans="1:4">
      <c r="A29" t="s">
        <v>89</v>
      </c>
      <c r="B29" t="s">
        <v>215</v>
      </c>
      <c r="C29" s="20">
        <v>46090</v>
      </c>
      <c r="D29" s="20">
        <v>46108</v>
      </c>
    </row>
    <row r="30" spans="1:4">
      <c r="A30" t="s">
        <v>89</v>
      </c>
      <c r="B30" t="s">
        <v>31</v>
      </c>
      <c r="C30" s="20">
        <v>46132</v>
      </c>
      <c r="D30" s="20">
        <v>46387</v>
      </c>
    </row>
    <row r="31" spans="1:4">
      <c r="A31" t="s">
        <v>93</v>
      </c>
      <c r="B31" t="s">
        <v>29</v>
      </c>
      <c r="C31" s="20">
        <v>46058</v>
      </c>
      <c r="D31" s="20">
        <v>46122</v>
      </c>
    </row>
    <row r="32" spans="1:4">
      <c r="A32" t="s">
        <v>93</v>
      </c>
      <c r="B32" t="s">
        <v>21</v>
      </c>
      <c r="C32" s="20">
        <v>46125</v>
      </c>
      <c r="D32" s="20">
        <v>46402</v>
      </c>
    </row>
    <row r="33" spans="1:4">
      <c r="A33" t="s">
        <v>93</v>
      </c>
      <c r="B33" t="s">
        <v>38</v>
      </c>
      <c r="C33" s="20">
        <v>46042</v>
      </c>
      <c r="D33" s="20">
        <v>46122</v>
      </c>
    </row>
    <row r="34" spans="1:4">
      <c r="A34" t="s">
        <v>96</v>
      </c>
      <c r="B34" t="s">
        <v>52</v>
      </c>
      <c r="C34" s="20">
        <v>46023</v>
      </c>
      <c r="D34" s="20">
        <v>46295</v>
      </c>
    </row>
    <row r="35" spans="1:4">
      <c r="A35" t="s">
        <v>100</v>
      </c>
      <c r="B35" t="s">
        <v>23</v>
      </c>
      <c r="C35" s="20">
        <v>46118</v>
      </c>
      <c r="D35" s="20">
        <v>46199</v>
      </c>
    </row>
    <row r="36" spans="1:4">
      <c r="A36" t="s">
        <v>100</v>
      </c>
      <c r="B36" t="s">
        <v>87</v>
      </c>
      <c r="C36" s="20">
        <v>46055</v>
      </c>
      <c r="D36" s="20">
        <v>46108</v>
      </c>
    </row>
    <row r="37" spans="1:4">
      <c r="A37" t="s">
        <v>103</v>
      </c>
      <c r="B37" t="s">
        <v>52</v>
      </c>
      <c r="C37" s="20">
        <v>46023</v>
      </c>
      <c r="D37" s="20">
        <v>46295</v>
      </c>
    </row>
    <row r="38" spans="1:4">
      <c r="A38" t="s">
        <v>106</v>
      </c>
      <c r="B38" t="s">
        <v>52</v>
      </c>
      <c r="C38" s="20">
        <v>46023</v>
      </c>
      <c r="D38" s="20">
        <v>46295</v>
      </c>
    </row>
    <row r="39" spans="1:4">
      <c r="A39" t="s">
        <v>109</v>
      </c>
      <c r="B39" t="s">
        <v>36</v>
      </c>
      <c r="C39" s="20">
        <v>46069</v>
      </c>
      <c r="D39" s="20">
        <v>46203</v>
      </c>
    </row>
    <row r="40" spans="1:4">
      <c r="A40" t="s">
        <v>109</v>
      </c>
      <c r="B40" t="s">
        <v>24</v>
      </c>
      <c r="C40" s="20">
        <v>46034</v>
      </c>
      <c r="D40" s="20">
        <v>46373</v>
      </c>
    </row>
    <row r="41" spans="1:4">
      <c r="A41" t="s">
        <v>109</v>
      </c>
      <c r="B41" t="s">
        <v>214</v>
      </c>
      <c r="C41" s="20">
        <v>46055</v>
      </c>
      <c r="D41" s="20">
        <v>46416</v>
      </c>
    </row>
    <row r="42" spans="1:4">
      <c r="A42" t="s">
        <v>109</v>
      </c>
      <c r="B42" t="s">
        <v>31</v>
      </c>
      <c r="C42" s="20">
        <v>46023</v>
      </c>
      <c r="D42" s="20">
        <v>46387</v>
      </c>
    </row>
    <row r="43" spans="1:4">
      <c r="A43" t="s">
        <v>109</v>
      </c>
      <c r="B43" t="s">
        <v>38</v>
      </c>
      <c r="C43" s="20">
        <v>46042</v>
      </c>
      <c r="D43" s="20">
        <v>46178</v>
      </c>
    </row>
    <row r="44" spans="1:4">
      <c r="A44" t="s">
        <v>113</v>
      </c>
      <c r="B44" t="s">
        <v>73</v>
      </c>
      <c r="C44" s="20">
        <v>45670</v>
      </c>
      <c r="D44" s="20">
        <v>46297</v>
      </c>
    </row>
    <row r="45" spans="1:4">
      <c r="A45" t="s">
        <v>116</v>
      </c>
      <c r="B45" t="s">
        <v>52</v>
      </c>
      <c r="C45" s="20">
        <v>46023</v>
      </c>
      <c r="D45" s="20">
        <v>46295</v>
      </c>
    </row>
    <row r="46" spans="1:4">
      <c r="A46" t="s">
        <v>220</v>
      </c>
      <c r="B46" t="s">
        <v>21</v>
      </c>
      <c r="C46" s="20">
        <v>46125</v>
      </c>
      <c r="D46" s="20">
        <v>46402</v>
      </c>
    </row>
    <row r="47" spans="1:4">
      <c r="A47" t="s">
        <v>220</v>
      </c>
      <c r="B47" t="s">
        <v>25</v>
      </c>
      <c r="C47" s="20">
        <v>46034</v>
      </c>
      <c r="D47" s="20">
        <v>46122</v>
      </c>
    </row>
    <row r="48" spans="1:4">
      <c r="A48" t="s">
        <v>122</v>
      </c>
      <c r="B48" t="s">
        <v>36</v>
      </c>
      <c r="C48" s="20">
        <v>46069</v>
      </c>
      <c r="D48" s="20">
        <v>46203</v>
      </c>
    </row>
    <row r="49" spans="1:4">
      <c r="A49" t="s">
        <v>125</v>
      </c>
      <c r="B49" t="s">
        <v>31</v>
      </c>
      <c r="C49" s="20">
        <v>46023</v>
      </c>
      <c r="D49" s="20">
        <v>46387</v>
      </c>
    </row>
    <row r="50" spans="1:4">
      <c r="A50" t="s">
        <v>128</v>
      </c>
      <c r="B50" t="s">
        <v>73</v>
      </c>
      <c r="C50" s="20">
        <v>45670</v>
      </c>
      <c r="D50" s="20">
        <v>46297</v>
      </c>
    </row>
    <row r="51" spans="1:4">
      <c r="A51" t="s">
        <v>128</v>
      </c>
      <c r="B51" t="s">
        <v>36</v>
      </c>
      <c r="C51" s="20">
        <v>46069</v>
      </c>
      <c r="D51" s="20">
        <v>46203</v>
      </c>
    </row>
    <row r="52" spans="1:4">
      <c r="A52" t="s">
        <v>128</v>
      </c>
      <c r="B52" t="s">
        <v>24</v>
      </c>
      <c r="C52" s="20">
        <v>45727</v>
      </c>
      <c r="D52" s="20">
        <v>46387</v>
      </c>
    </row>
    <row r="53" spans="1:4">
      <c r="A53" t="s">
        <v>131</v>
      </c>
      <c r="B53" t="s">
        <v>24</v>
      </c>
      <c r="C53" s="20">
        <v>46034</v>
      </c>
      <c r="D53" s="20">
        <v>46143</v>
      </c>
    </row>
    <row r="54" spans="1:4">
      <c r="A54" t="s">
        <v>221</v>
      </c>
      <c r="B54" t="s">
        <v>52</v>
      </c>
      <c r="C54" s="20">
        <v>46023</v>
      </c>
      <c r="D54" s="20">
        <v>46295</v>
      </c>
    </row>
    <row r="55" spans="1:4">
      <c r="A55" t="s">
        <v>138</v>
      </c>
      <c r="B55" t="s">
        <v>64</v>
      </c>
      <c r="C55" s="20">
        <v>45811</v>
      </c>
      <c r="D55" s="20">
        <v>46783</v>
      </c>
    </row>
    <row r="56" spans="1:4">
      <c r="A56" t="s">
        <v>141</v>
      </c>
      <c r="B56" t="s">
        <v>64</v>
      </c>
      <c r="C56" s="20">
        <v>45811</v>
      </c>
      <c r="D56" s="20">
        <v>46783</v>
      </c>
    </row>
    <row r="57" spans="1:4">
      <c r="A57" t="s">
        <v>65</v>
      </c>
      <c r="B57" t="s">
        <v>64</v>
      </c>
      <c r="C57" s="20">
        <v>45811</v>
      </c>
      <c r="D57" s="20">
        <v>46112</v>
      </c>
    </row>
    <row r="58" spans="1:4">
      <c r="A58" t="s">
        <v>65</v>
      </c>
      <c r="B58" t="s">
        <v>145</v>
      </c>
      <c r="C58" s="20">
        <v>46195</v>
      </c>
      <c r="D58" s="20">
        <v>46283</v>
      </c>
    </row>
    <row r="59" spans="1:4">
      <c r="A59" t="s">
        <v>65</v>
      </c>
      <c r="B59" t="s">
        <v>23</v>
      </c>
      <c r="C59" s="20">
        <v>46118</v>
      </c>
      <c r="D59" s="20">
        <v>46199</v>
      </c>
    </row>
    <row r="60" spans="1:4">
      <c r="A60" t="s">
        <v>147</v>
      </c>
      <c r="B60" t="s">
        <v>38</v>
      </c>
      <c r="C60" s="20">
        <v>46042</v>
      </c>
      <c r="D60" s="20">
        <v>46178</v>
      </c>
    </row>
    <row r="61" spans="1:4">
      <c r="A61" t="s">
        <v>150</v>
      </c>
      <c r="B61" t="s">
        <v>152</v>
      </c>
      <c r="C61" s="20">
        <v>46118</v>
      </c>
      <c r="D61" s="20">
        <v>46386</v>
      </c>
    </row>
    <row r="62" spans="1:4">
      <c r="A62" t="s">
        <v>150</v>
      </c>
      <c r="B62" t="s">
        <v>87</v>
      </c>
      <c r="C62" s="20">
        <v>45887</v>
      </c>
      <c r="D62" s="20">
        <v>46101</v>
      </c>
    </row>
    <row r="63" spans="1:4">
      <c r="A63" t="s">
        <v>154</v>
      </c>
      <c r="B63" t="s">
        <v>64</v>
      </c>
      <c r="C63" s="20">
        <v>45811</v>
      </c>
      <c r="D63" s="20">
        <v>46783</v>
      </c>
    </row>
    <row r="64" spans="1:4">
      <c r="A64" t="s">
        <v>157</v>
      </c>
      <c r="B64" t="s">
        <v>24</v>
      </c>
      <c r="C64" s="20">
        <v>46034</v>
      </c>
      <c r="D64" s="20">
        <v>46373</v>
      </c>
    </row>
    <row r="65" spans="1:4">
      <c r="A65" t="s">
        <v>160</v>
      </c>
      <c r="B65" t="s">
        <v>64</v>
      </c>
      <c r="C65" s="20">
        <v>45811</v>
      </c>
      <c r="D65" s="20">
        <v>46783</v>
      </c>
    </row>
    <row r="66" spans="1:4">
      <c r="A66" t="s">
        <v>163</v>
      </c>
      <c r="B66" t="s">
        <v>214</v>
      </c>
      <c r="C66" s="20">
        <v>46090</v>
      </c>
      <c r="D66" s="20">
        <v>46387</v>
      </c>
    </row>
    <row r="67" spans="1:4">
      <c r="A67" t="s">
        <v>163</v>
      </c>
      <c r="B67" t="s">
        <v>31</v>
      </c>
      <c r="C67" s="20">
        <v>46023</v>
      </c>
      <c r="D67" s="20">
        <v>46387</v>
      </c>
    </row>
    <row r="68" spans="1:4">
      <c r="A68" t="s">
        <v>163</v>
      </c>
      <c r="B68" t="s">
        <v>38</v>
      </c>
      <c r="C68" s="20">
        <v>46042</v>
      </c>
      <c r="D68" s="20">
        <v>46178</v>
      </c>
    </row>
    <row r="69" spans="1:4">
      <c r="A69" t="s">
        <v>167</v>
      </c>
      <c r="B69" t="s">
        <v>31</v>
      </c>
      <c r="C69" s="20">
        <v>46023</v>
      </c>
      <c r="D69" s="20">
        <v>46387</v>
      </c>
    </row>
    <row r="70" spans="1:4">
      <c r="A70" t="s">
        <v>170</v>
      </c>
      <c r="B70" t="s">
        <v>152</v>
      </c>
      <c r="C70" s="20">
        <v>46118</v>
      </c>
      <c r="D70" s="20">
        <v>46386</v>
      </c>
    </row>
    <row r="71" spans="1:4">
      <c r="A71" t="s">
        <v>170</v>
      </c>
      <c r="B71" t="s">
        <v>21</v>
      </c>
      <c r="C71" s="20">
        <v>46125</v>
      </c>
      <c r="D71" s="20">
        <v>46402</v>
      </c>
    </row>
    <row r="72" spans="1:4">
      <c r="A72" t="s">
        <v>170</v>
      </c>
      <c r="B72" t="s">
        <v>64</v>
      </c>
      <c r="C72" s="20">
        <v>45811</v>
      </c>
      <c r="D72" s="20">
        <v>46783</v>
      </c>
    </row>
    <row r="73" spans="1:4">
      <c r="A73" t="s">
        <v>170</v>
      </c>
      <c r="B73" t="s">
        <v>36</v>
      </c>
      <c r="C73" s="20">
        <v>46069</v>
      </c>
      <c r="D73" s="20">
        <v>46386</v>
      </c>
    </row>
    <row r="74" spans="1:4">
      <c r="A74" t="s">
        <v>170</v>
      </c>
      <c r="B74" t="s">
        <v>145</v>
      </c>
      <c r="C74" s="20">
        <v>46195</v>
      </c>
      <c r="D74" s="20">
        <v>46283</v>
      </c>
    </row>
    <row r="75" spans="1:4">
      <c r="A75" t="s">
        <v>170</v>
      </c>
      <c r="B75" t="s">
        <v>23</v>
      </c>
      <c r="C75" s="20">
        <v>46104</v>
      </c>
      <c r="D75" s="20">
        <v>46185</v>
      </c>
    </row>
    <row r="76" spans="1:4">
      <c r="A76" t="s">
        <v>170</v>
      </c>
      <c r="B76" t="s">
        <v>25</v>
      </c>
      <c r="C76" s="20">
        <v>45978</v>
      </c>
      <c r="D76" s="20">
        <v>46122</v>
      </c>
    </row>
    <row r="77" spans="1:4">
      <c r="A77" t="s">
        <v>173</v>
      </c>
      <c r="B77" t="s">
        <v>52</v>
      </c>
      <c r="C77" s="20">
        <v>46023</v>
      </c>
      <c r="D77" s="20">
        <v>46295</v>
      </c>
    </row>
    <row r="78" spans="1:4">
      <c r="A78" t="s">
        <v>176</v>
      </c>
      <c r="B78" t="s">
        <v>215</v>
      </c>
      <c r="C78" s="20">
        <v>46090</v>
      </c>
      <c r="D78" s="20">
        <v>46108</v>
      </c>
    </row>
    <row r="79" spans="1:4">
      <c r="A79" t="s">
        <v>176</v>
      </c>
      <c r="B79" t="s">
        <v>178</v>
      </c>
      <c r="C79" s="20">
        <v>46132</v>
      </c>
      <c r="D79" s="20">
        <v>46171</v>
      </c>
    </row>
    <row r="80" spans="1:4">
      <c r="A80" t="s">
        <v>181</v>
      </c>
      <c r="B80" t="s">
        <v>23</v>
      </c>
      <c r="C80" s="20">
        <v>46118</v>
      </c>
      <c r="D80" s="20">
        <v>46199</v>
      </c>
    </row>
    <row r="81" spans="1:4">
      <c r="A81" t="s">
        <v>181</v>
      </c>
      <c r="B81" t="s">
        <v>52</v>
      </c>
      <c r="C81" s="20">
        <v>46083</v>
      </c>
      <c r="D81" s="20">
        <v>46115</v>
      </c>
    </row>
    <row r="82" spans="1:4">
      <c r="A82" t="s">
        <v>184</v>
      </c>
      <c r="B82" t="s">
        <v>52</v>
      </c>
      <c r="C82" s="20">
        <v>46023</v>
      </c>
      <c r="D82" s="20">
        <v>46295</v>
      </c>
    </row>
    <row r="83" spans="1:4">
      <c r="A83" t="s">
        <v>187</v>
      </c>
      <c r="B83" t="s">
        <v>52</v>
      </c>
      <c r="C83" s="20">
        <v>46023</v>
      </c>
      <c r="D83" s="20">
        <v>46295</v>
      </c>
    </row>
    <row r="84" spans="1:4">
      <c r="A84" t="s">
        <v>190</v>
      </c>
      <c r="B84" t="s">
        <v>31</v>
      </c>
      <c r="C84" s="20">
        <v>46023</v>
      </c>
      <c r="D84" s="20">
        <v>46387</v>
      </c>
    </row>
    <row r="85" spans="1:4">
      <c r="A85" t="s">
        <v>194</v>
      </c>
      <c r="B85" t="s">
        <v>178</v>
      </c>
      <c r="C85" s="20">
        <v>45964</v>
      </c>
      <c r="D85" s="20">
        <v>46171</v>
      </c>
    </row>
    <row r="86" spans="1:4">
      <c r="A86" t="s">
        <v>198</v>
      </c>
      <c r="B86" t="s">
        <v>152</v>
      </c>
      <c r="C86" s="20">
        <v>46118</v>
      </c>
      <c r="D86" s="20">
        <v>46387</v>
      </c>
    </row>
    <row r="87" spans="1:4">
      <c r="A87" t="s">
        <v>198</v>
      </c>
      <c r="B87" t="s">
        <v>200</v>
      </c>
      <c r="C87" s="20">
        <v>46090</v>
      </c>
      <c r="D87" s="20">
        <v>46178</v>
      </c>
    </row>
    <row r="88" spans="1:4">
      <c r="A88" t="s">
        <v>198</v>
      </c>
      <c r="B88" t="s">
        <v>64</v>
      </c>
      <c r="C88" s="20">
        <v>45811</v>
      </c>
      <c r="D88" s="20">
        <v>46783</v>
      </c>
    </row>
    <row r="89" spans="1:4">
      <c r="A89" t="s">
        <v>198</v>
      </c>
      <c r="B89" t="s">
        <v>36</v>
      </c>
      <c r="C89" s="20">
        <v>46069</v>
      </c>
      <c r="D89" s="20">
        <v>46203</v>
      </c>
    </row>
    <row r="90" spans="1:4">
      <c r="A90" t="s">
        <v>198</v>
      </c>
      <c r="B90" t="s">
        <v>145</v>
      </c>
      <c r="C90" s="20">
        <v>46195</v>
      </c>
      <c r="D90" s="20">
        <v>46283</v>
      </c>
    </row>
    <row r="91" spans="1:4">
      <c r="A91" t="s">
        <v>198</v>
      </c>
      <c r="B91" t="s">
        <v>23</v>
      </c>
      <c r="C91" s="20">
        <v>46104</v>
      </c>
      <c r="D91" s="20">
        <v>46199</v>
      </c>
    </row>
    <row r="92" spans="1:4">
      <c r="A92" t="s">
        <v>202</v>
      </c>
      <c r="B92" t="s">
        <v>145</v>
      </c>
      <c r="C92" s="20">
        <v>46195</v>
      </c>
      <c r="D92" s="20">
        <v>46283</v>
      </c>
    </row>
    <row r="93" spans="1:4">
      <c r="A93" t="s">
        <v>202</v>
      </c>
      <c r="B93" t="s">
        <v>23</v>
      </c>
      <c r="C93" s="20">
        <v>46125</v>
      </c>
      <c r="D93" s="20">
        <v>46185</v>
      </c>
    </row>
    <row r="94" spans="1:4">
      <c r="A94" t="s">
        <v>202</v>
      </c>
      <c r="B94" t="s">
        <v>25</v>
      </c>
      <c r="C94" s="20">
        <v>45978</v>
      </c>
      <c r="D94" s="20">
        <v>46122</v>
      </c>
    </row>
    <row r="95" spans="1:4">
      <c r="A95" t="s">
        <v>205</v>
      </c>
      <c r="B95" t="s">
        <v>36</v>
      </c>
      <c r="C95" s="20">
        <v>46083</v>
      </c>
      <c r="D95" s="20">
        <v>46203</v>
      </c>
    </row>
    <row r="96" spans="1:4">
      <c r="A96" t="s">
        <v>208</v>
      </c>
      <c r="B96" t="s">
        <v>73</v>
      </c>
      <c r="C96" s="20">
        <v>45670</v>
      </c>
      <c r="D96" s="20">
        <v>46297</v>
      </c>
    </row>
    <row r="100" spans="1:4">
      <c r="A100" t="s">
        <v>222</v>
      </c>
      <c r="B100" t="s">
        <v>52</v>
      </c>
      <c r="C100" s="20">
        <v>46023</v>
      </c>
      <c r="D100" s="20">
        <v>46295</v>
      </c>
    </row>
    <row r="101" spans="1:4">
      <c r="B101" t="s">
        <v>24</v>
      </c>
      <c r="C101" s="20">
        <v>46034</v>
      </c>
      <c r="D101" s="20">
        <v>46373</v>
      </c>
    </row>
    <row r="102" spans="1:4">
      <c r="B102" t="s">
        <v>31</v>
      </c>
      <c r="C102" s="20">
        <v>46023</v>
      </c>
      <c r="D102" s="20">
        <v>46387</v>
      </c>
    </row>
    <row r="103" spans="1:4">
      <c r="A103" t="s">
        <v>223</v>
      </c>
      <c r="B103" t="s">
        <v>152</v>
      </c>
      <c r="C103" s="20">
        <v>46118</v>
      </c>
      <c r="D103" s="20">
        <v>46386</v>
      </c>
    </row>
    <row r="104" spans="1:4">
      <c r="B104" t="s">
        <v>29</v>
      </c>
      <c r="C104" s="20">
        <v>46058</v>
      </c>
      <c r="D104" s="20">
        <v>46122</v>
      </c>
    </row>
    <row r="105" spans="1:4">
      <c r="B105" t="s">
        <v>21</v>
      </c>
      <c r="C105" s="20">
        <v>46125</v>
      </c>
      <c r="D105" s="20">
        <v>46402</v>
      </c>
    </row>
    <row r="106" spans="1:4">
      <c r="B106" t="s">
        <v>215</v>
      </c>
      <c r="C106" s="20">
        <v>46090</v>
      </c>
      <c r="D106" s="20">
        <v>46108</v>
      </c>
    </row>
    <row r="107" spans="1:4">
      <c r="B107" t="s">
        <v>36</v>
      </c>
      <c r="C107" s="20">
        <v>46069</v>
      </c>
      <c r="D107" s="20">
        <v>46203</v>
      </c>
    </row>
    <row r="108" spans="1:4">
      <c r="B108" t="s">
        <v>145</v>
      </c>
      <c r="C108" s="20">
        <v>46195</v>
      </c>
      <c r="D108" s="20">
        <v>46283</v>
      </c>
    </row>
    <row r="109" spans="1:4">
      <c r="B109" t="s">
        <v>23</v>
      </c>
      <c r="C109" s="20">
        <v>46104</v>
      </c>
      <c r="D109" s="20">
        <v>46199</v>
      </c>
    </row>
    <row r="110" spans="1:4">
      <c r="B110" t="s">
        <v>25</v>
      </c>
      <c r="C110" s="20">
        <v>45978</v>
      </c>
      <c r="D110" s="20">
        <v>46122</v>
      </c>
    </row>
    <row r="111" spans="1:4">
      <c r="B111" t="s">
        <v>178</v>
      </c>
      <c r="C111" s="20">
        <v>46118</v>
      </c>
      <c r="D111" s="20">
        <v>46206</v>
      </c>
    </row>
    <row r="112" spans="1:4">
      <c r="B112" t="s">
        <v>38</v>
      </c>
      <c r="C112" s="20">
        <v>46042</v>
      </c>
      <c r="D112" s="20">
        <v>46178</v>
      </c>
    </row>
    <row r="113" spans="1:4">
      <c r="A113" t="s">
        <v>224</v>
      </c>
      <c r="B113" t="s">
        <v>200</v>
      </c>
      <c r="C113" s="20">
        <v>46090</v>
      </c>
      <c r="D113" s="20">
        <v>46178</v>
      </c>
    </row>
    <row r="114" spans="1:4">
      <c r="B114" t="s">
        <v>64</v>
      </c>
      <c r="C114" s="20">
        <v>45811</v>
      </c>
      <c r="D114" s="20">
        <v>46783</v>
      </c>
    </row>
  </sheetData>
  <autoFilter ref="A1:D96" xr:uid="{2445AC80-2748-4A63-A251-3868B235311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0A362-9E1E-42E9-BB4D-2A0C7882914C}">
  <dimension ref="A1:I18"/>
  <sheetViews>
    <sheetView workbookViewId="0">
      <selection activeCell="D17" sqref="D17"/>
    </sheetView>
  </sheetViews>
  <sheetFormatPr defaultColWidth="8.7109375" defaultRowHeight="15.6"/>
  <cols>
    <col min="1" max="1" width="8.7109375" style="22"/>
    <col min="2" max="2" width="45.140625" style="22" bestFit="1" customWidth="1"/>
    <col min="3" max="3" width="22.5703125" style="22" bestFit="1" customWidth="1"/>
    <col min="4" max="4" width="31.5703125" style="22" bestFit="1" customWidth="1"/>
    <col min="5" max="5" width="19.85546875" style="22" bestFit="1" customWidth="1"/>
    <col min="6" max="6" width="10.85546875" style="22" bestFit="1" customWidth="1"/>
    <col min="7" max="7" width="12.42578125" style="22" bestFit="1" customWidth="1"/>
    <col min="8" max="16384" width="8.7109375" style="22"/>
  </cols>
  <sheetData>
    <row r="1" spans="1:9">
      <c r="A1" s="22" t="s">
        <v>225</v>
      </c>
      <c r="B1" s="22" t="s">
        <v>226</v>
      </c>
      <c r="C1" s="22" t="s">
        <v>6</v>
      </c>
      <c r="D1" s="22" t="s">
        <v>227</v>
      </c>
      <c r="E1" s="22" t="s">
        <v>228</v>
      </c>
      <c r="F1" s="22" t="s">
        <v>229</v>
      </c>
      <c r="G1" s="22" t="s">
        <v>230</v>
      </c>
      <c r="H1" s="22" t="s">
        <v>231</v>
      </c>
      <c r="I1" s="22" t="s">
        <v>232</v>
      </c>
    </row>
    <row r="2" spans="1:9">
      <c r="A2" s="22" t="s">
        <v>233</v>
      </c>
      <c r="B2" s="22" t="s">
        <v>52</v>
      </c>
      <c r="C2" s="22" t="s">
        <v>234</v>
      </c>
      <c r="D2" s="22" t="s">
        <v>235</v>
      </c>
      <c r="E2" s="22" t="s">
        <v>236</v>
      </c>
      <c r="F2" s="22" t="s">
        <v>237</v>
      </c>
      <c r="G2" s="22" t="s">
        <v>238</v>
      </c>
      <c r="H2" s="22" t="s">
        <v>239</v>
      </c>
      <c r="I2" s="22" t="s">
        <v>240</v>
      </c>
    </row>
    <row r="3" spans="1:9">
      <c r="A3" s="22" t="s">
        <v>241</v>
      </c>
      <c r="B3" s="22" t="s">
        <v>31</v>
      </c>
      <c r="C3" s="22" t="s">
        <v>234</v>
      </c>
      <c r="D3" s="22" t="s">
        <v>242</v>
      </c>
      <c r="E3" s="22" t="s">
        <v>236</v>
      </c>
      <c r="F3" s="22" t="s">
        <v>237</v>
      </c>
      <c r="G3" s="22" t="s">
        <v>243</v>
      </c>
      <c r="H3" s="22" t="s">
        <v>244</v>
      </c>
      <c r="I3" s="22" t="s">
        <v>240</v>
      </c>
    </row>
    <row r="4" spans="1:9">
      <c r="A4" s="22" t="s">
        <v>245</v>
      </c>
      <c r="B4" s="22" t="s">
        <v>64</v>
      </c>
      <c r="C4" s="22" t="s">
        <v>234</v>
      </c>
      <c r="D4" s="22" t="s">
        <v>246</v>
      </c>
      <c r="E4" s="22" t="s">
        <v>247</v>
      </c>
      <c r="F4" s="22" t="s">
        <v>248</v>
      </c>
      <c r="G4" s="22" t="s">
        <v>249</v>
      </c>
      <c r="H4" s="22" t="s">
        <v>244</v>
      </c>
      <c r="I4" s="22" t="s">
        <v>240</v>
      </c>
    </row>
    <row r="5" spans="1:9">
      <c r="A5" s="22" t="s">
        <v>250</v>
      </c>
      <c r="B5" s="22" t="s">
        <v>36</v>
      </c>
      <c r="C5" s="22" t="s">
        <v>234</v>
      </c>
      <c r="D5" s="22" t="s">
        <v>251</v>
      </c>
      <c r="E5" s="22" t="s">
        <v>223</v>
      </c>
      <c r="F5" s="22" t="s">
        <v>252</v>
      </c>
      <c r="G5" s="22" t="s">
        <v>253</v>
      </c>
      <c r="H5" s="22" t="s">
        <v>244</v>
      </c>
      <c r="I5" s="22" t="s">
        <v>240</v>
      </c>
    </row>
    <row r="6" spans="1:9">
      <c r="A6" s="22" t="s">
        <v>254</v>
      </c>
      <c r="B6" s="22" t="s">
        <v>152</v>
      </c>
      <c r="C6" s="22" t="s">
        <v>234</v>
      </c>
      <c r="D6" s="22" t="s">
        <v>150</v>
      </c>
      <c r="E6" s="22" t="s">
        <v>223</v>
      </c>
      <c r="F6" s="22" t="s">
        <v>255</v>
      </c>
      <c r="G6" s="22" t="s">
        <v>256</v>
      </c>
      <c r="H6" s="22" t="s">
        <v>244</v>
      </c>
      <c r="I6" s="22" t="s">
        <v>240</v>
      </c>
    </row>
    <row r="7" spans="1:9">
      <c r="A7" s="22" t="s">
        <v>257</v>
      </c>
      <c r="B7" s="22" t="s">
        <v>24</v>
      </c>
      <c r="C7" s="22" t="s">
        <v>234</v>
      </c>
      <c r="D7" s="22" t="s">
        <v>157</v>
      </c>
      <c r="E7" s="22" t="s">
        <v>236</v>
      </c>
      <c r="F7" s="22" t="s">
        <v>258</v>
      </c>
      <c r="G7" s="22" t="s">
        <v>243</v>
      </c>
      <c r="H7" s="22" t="s">
        <v>244</v>
      </c>
      <c r="I7" s="22" t="s">
        <v>240</v>
      </c>
    </row>
    <row r="8" spans="1:9">
      <c r="A8" s="22" t="s">
        <v>259</v>
      </c>
      <c r="B8" s="22" t="s">
        <v>38</v>
      </c>
      <c r="C8" s="22" t="s">
        <v>234</v>
      </c>
      <c r="D8" s="22" t="s">
        <v>85</v>
      </c>
      <c r="E8" s="22" t="s">
        <v>192</v>
      </c>
      <c r="F8" s="22" t="s">
        <v>260</v>
      </c>
      <c r="G8" s="22" t="s">
        <v>261</v>
      </c>
      <c r="H8" s="22" t="s">
        <v>244</v>
      </c>
      <c r="I8" s="22" t="s">
        <v>240</v>
      </c>
    </row>
    <row r="9" spans="1:9">
      <c r="A9" s="22" t="s">
        <v>262</v>
      </c>
      <c r="B9" s="22" t="s">
        <v>23</v>
      </c>
      <c r="C9" s="22" t="s">
        <v>234</v>
      </c>
      <c r="D9" s="22" t="s">
        <v>263</v>
      </c>
      <c r="E9" s="22" t="s">
        <v>223</v>
      </c>
      <c r="F9" s="22" t="s">
        <v>264</v>
      </c>
      <c r="G9" s="22" t="s">
        <v>265</v>
      </c>
      <c r="H9" s="22" t="s">
        <v>244</v>
      </c>
      <c r="I9" s="22" t="s">
        <v>240</v>
      </c>
    </row>
    <row r="10" spans="1:9">
      <c r="A10" s="22" t="s">
        <v>266</v>
      </c>
      <c r="B10" s="22" t="s">
        <v>21</v>
      </c>
      <c r="C10" s="22" t="s">
        <v>234</v>
      </c>
      <c r="D10" s="22" t="s">
        <v>223</v>
      </c>
      <c r="E10" s="22" t="s">
        <v>267</v>
      </c>
      <c r="F10" s="22" t="s">
        <v>268</v>
      </c>
      <c r="G10" s="22" t="s">
        <v>269</v>
      </c>
      <c r="H10" s="22" t="s">
        <v>244</v>
      </c>
      <c r="I10" s="22" t="s">
        <v>240</v>
      </c>
    </row>
    <row r="11" spans="1:9">
      <c r="A11" s="22" t="s">
        <v>270</v>
      </c>
      <c r="B11" s="22" t="s">
        <v>145</v>
      </c>
      <c r="C11" s="22" t="s">
        <v>234</v>
      </c>
      <c r="D11" s="22" t="s">
        <v>65</v>
      </c>
      <c r="E11" s="22" t="s">
        <v>223</v>
      </c>
      <c r="F11" s="22" t="s">
        <v>271</v>
      </c>
      <c r="G11" s="22" t="s">
        <v>272</v>
      </c>
      <c r="H11" s="22" t="s">
        <v>244</v>
      </c>
      <c r="I11" s="22" t="s">
        <v>240</v>
      </c>
    </row>
    <row r="12" spans="1:9">
      <c r="A12" s="22" t="s">
        <v>273</v>
      </c>
      <c r="B12" s="22" t="s">
        <v>200</v>
      </c>
      <c r="C12" s="22" t="s">
        <v>274</v>
      </c>
      <c r="D12" s="22" t="s">
        <v>275</v>
      </c>
      <c r="E12" s="22" t="s">
        <v>247</v>
      </c>
      <c r="F12" s="22" t="s">
        <v>276</v>
      </c>
      <c r="G12" s="22" t="s">
        <v>277</v>
      </c>
      <c r="H12" s="22" t="s">
        <v>244</v>
      </c>
      <c r="I12" s="22" t="s">
        <v>240</v>
      </c>
    </row>
    <row r="13" spans="1:9">
      <c r="A13" s="22" t="s">
        <v>278</v>
      </c>
      <c r="B13" s="22" t="s">
        <v>214</v>
      </c>
      <c r="C13" s="22" t="s">
        <v>214</v>
      </c>
      <c r="D13" s="22" t="s">
        <v>279</v>
      </c>
      <c r="E13" s="22" t="s">
        <v>192</v>
      </c>
      <c r="F13" s="22" t="s">
        <v>280</v>
      </c>
      <c r="G13" s="22" t="s">
        <v>281</v>
      </c>
      <c r="H13" s="22" t="s">
        <v>244</v>
      </c>
      <c r="I13" s="22" t="s">
        <v>240</v>
      </c>
    </row>
    <row r="14" spans="1:9">
      <c r="A14" s="22" t="s">
        <v>282</v>
      </c>
      <c r="B14" s="22" t="s">
        <v>178</v>
      </c>
      <c r="C14" s="22" t="s">
        <v>283</v>
      </c>
      <c r="D14" s="22" t="s">
        <v>179</v>
      </c>
      <c r="E14" s="22" t="s">
        <v>284</v>
      </c>
      <c r="F14" s="22" t="s">
        <v>285</v>
      </c>
      <c r="G14" s="22" t="s">
        <v>286</v>
      </c>
      <c r="H14" s="22" t="s">
        <v>244</v>
      </c>
      <c r="I14" s="22" t="s">
        <v>240</v>
      </c>
    </row>
    <row r="15" spans="1:9">
      <c r="A15" s="22" t="s">
        <v>287</v>
      </c>
      <c r="B15" s="22" t="s">
        <v>73</v>
      </c>
      <c r="C15" s="22" t="s">
        <v>288</v>
      </c>
      <c r="D15" s="22" t="s">
        <v>74</v>
      </c>
      <c r="E15" s="22" t="s">
        <v>289</v>
      </c>
      <c r="F15" s="22" t="s">
        <v>290</v>
      </c>
      <c r="G15" s="22" t="s">
        <v>291</v>
      </c>
      <c r="H15" s="22" t="s">
        <v>239</v>
      </c>
      <c r="I15" s="22" t="s">
        <v>240</v>
      </c>
    </row>
    <row r="16" spans="1:9">
      <c r="A16" s="22" t="s">
        <v>292</v>
      </c>
      <c r="B16" s="22" t="s">
        <v>87</v>
      </c>
      <c r="C16" s="22" t="s">
        <v>234</v>
      </c>
      <c r="D16" s="22" t="s">
        <v>85</v>
      </c>
      <c r="E16" s="22" t="s">
        <v>247</v>
      </c>
      <c r="F16" s="22" t="s">
        <v>293</v>
      </c>
      <c r="G16" s="22" t="s">
        <v>294</v>
      </c>
      <c r="H16" s="22" t="s">
        <v>239</v>
      </c>
      <c r="I16" s="22" t="s">
        <v>240</v>
      </c>
    </row>
    <row r="17" spans="1:9">
      <c r="A17" s="22" t="s">
        <v>295</v>
      </c>
      <c r="B17" s="22" t="s">
        <v>25</v>
      </c>
      <c r="C17" s="22" t="s">
        <v>234</v>
      </c>
      <c r="D17" s="22" t="s">
        <v>170</v>
      </c>
      <c r="E17" s="22" t="s">
        <v>223</v>
      </c>
      <c r="F17" s="22" t="s">
        <v>296</v>
      </c>
      <c r="G17" s="22" t="s">
        <v>297</v>
      </c>
      <c r="H17" s="22" t="s">
        <v>244</v>
      </c>
      <c r="I17" s="22" t="s">
        <v>240</v>
      </c>
    </row>
    <row r="18" spans="1:9">
      <c r="A18" s="22" t="s">
        <v>298</v>
      </c>
      <c r="B18" s="22" t="s">
        <v>29</v>
      </c>
      <c r="C18" s="22" t="s">
        <v>234</v>
      </c>
      <c r="D18" s="22" t="s">
        <v>235</v>
      </c>
      <c r="E18" s="22" t="s">
        <v>22</v>
      </c>
      <c r="F18" s="22" t="s">
        <v>299</v>
      </c>
      <c r="G18" s="22" t="s">
        <v>299</v>
      </c>
      <c r="H18" s="22" t="s">
        <v>244</v>
      </c>
      <c r="I18" s="22" t="s">
        <v>240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0db3e83-3dc4-4fc9-9d2d-7afaf3d6d46d">
      <Terms xmlns="http://schemas.microsoft.com/office/infopath/2007/PartnerControls"/>
    </lcf76f155ced4ddcb4097134ff3c332f>
    <TaxCatchAll xmlns="b28562fc-e87d-43f5-ae38-d0f6973ba9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B01314508DB44FB89A9E38CD182705" ma:contentTypeVersion="16" ma:contentTypeDescription="Crear nuevo documento." ma:contentTypeScope="" ma:versionID="a05cfb5ad24c9705211e879ed5dd6a20">
  <xsd:schema xmlns:xsd="http://www.w3.org/2001/XMLSchema" xmlns:xs="http://www.w3.org/2001/XMLSchema" xmlns:p="http://schemas.microsoft.com/office/2006/metadata/properties" xmlns:ns2="00db3e83-3dc4-4fc9-9d2d-7afaf3d6d46d" xmlns:ns3="b28562fc-e87d-43f5-ae38-d0f6973ba9b0" targetNamespace="http://schemas.microsoft.com/office/2006/metadata/properties" ma:root="true" ma:fieldsID="fa47e0b0a065f8412f16b89011cac265" ns2:_="" ns3:_="">
    <xsd:import namespace="00db3e83-3dc4-4fc9-9d2d-7afaf3d6d46d"/>
    <xsd:import namespace="b28562fc-e87d-43f5-ae38-d0f6973ba9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db3e83-3dc4-4fc9-9d2d-7afaf3d6d4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16d5555-542f-4c68-983e-5b22f9047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8562fc-e87d-43f5-ae38-d0f6973ba9b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0b73cd4-10bb-4ffa-8915-291227e3c931}" ma:internalName="TaxCatchAll" ma:showField="CatchAllData" ma:web="b28562fc-e87d-43f5-ae38-d0f6973ba9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176F4E-D49E-41CA-AECE-BBBA48FB6881}"/>
</file>

<file path=customXml/itemProps2.xml><?xml version="1.0" encoding="utf-8"?>
<ds:datastoreItem xmlns:ds="http://schemas.openxmlformats.org/officeDocument/2006/customXml" ds:itemID="{D6C98D7F-DA27-4C74-953B-09FB05D11F3E}"/>
</file>

<file path=customXml/itemProps3.xml><?xml version="1.0" encoding="utf-8"?>
<ds:datastoreItem xmlns:ds="http://schemas.openxmlformats.org/officeDocument/2006/customXml" ds:itemID="{C10AE8BA-D3B3-46BA-A53A-CB3A3DD40D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Cocoletzi</dc:creator>
  <cp:keywords/>
  <dc:description/>
  <cp:lastModifiedBy/>
  <cp:revision/>
  <dcterms:created xsi:type="dcterms:W3CDTF">2026-06-05T18:32:23Z</dcterms:created>
  <dcterms:modified xsi:type="dcterms:W3CDTF">2026-06-12T21:18:28Z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0x01010018B01314508DB44FB89A9E38CD182705</vt:lpwstr>
  </property>
  <property fmtid="{D5CDD505-2E9C-101B-9397-08002B2CF9AE}" pid="3" name="MediaServiceImageTags">
    <vt:lpwstr/>
  </property>
</Properties>
</file>